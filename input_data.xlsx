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codeName="ThisWorkbook"/>
  <mc:AlternateContent xmlns:mc="http://schemas.openxmlformats.org/markup-compatibility/2006">
    <mc:Choice Requires="x15">
      <x15ac:absPath xmlns:x15ac="http://schemas.microsoft.com/office/spreadsheetml/2010/11/ac" url="https://tuni-my.sharepoint.com/personal/ristomatti_pori_tuni_fi/Documents/diplomityö/WP2_power_system_model/PythonProject2/"/>
    </mc:Choice>
  </mc:AlternateContent>
  <xr:revisionPtr revIDLastSave="94" documentId="8_{43C1BD27-7610-4CED-943A-D2E4E06AFEC4}" xr6:coauthVersionLast="47" xr6:coauthVersionMax="47" xr10:uidLastSave="{B655C29B-6ECF-47CF-BF7E-2C9E571F19DF}"/>
  <bookViews>
    <workbookView xWindow="-120" yWindow="-120" windowWidth="38640" windowHeight="21120" xr2:uid="{443EAD63-F188-44FF-934B-EAB46D3264A6}"/>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 l="1"/>
  <c r="P4" i="1"/>
  <c r="P10" i="1"/>
  <c r="P11" i="1"/>
  <c r="P15" i="1"/>
  <c r="P16" i="1"/>
  <c r="P23" i="1"/>
  <c r="P27" i="1"/>
  <c r="P28" i="1"/>
  <c r="P34" i="1"/>
  <c r="P35" i="1"/>
  <c r="P39" i="1"/>
  <c r="P40" i="1"/>
  <c r="P47" i="1"/>
  <c r="P51" i="1"/>
  <c r="P52" i="1"/>
  <c r="P58" i="1"/>
  <c r="P59" i="1"/>
  <c r="P63" i="1"/>
  <c r="P64" i="1"/>
  <c r="P71" i="1"/>
  <c r="P75" i="1"/>
  <c r="P76" i="1"/>
  <c r="P82" i="1"/>
  <c r="P83" i="1"/>
  <c r="P87" i="1"/>
  <c r="P88" i="1"/>
  <c r="P95" i="1"/>
  <c r="P99" i="1"/>
  <c r="P100" i="1"/>
  <c r="P106" i="1"/>
  <c r="P107" i="1"/>
  <c r="P111" i="1"/>
  <c r="P112" i="1"/>
  <c r="P119" i="1"/>
  <c r="P123" i="1"/>
  <c r="P124" i="1"/>
  <c r="P130" i="1"/>
  <c r="P131" i="1"/>
  <c r="P135" i="1"/>
  <c r="P136" i="1"/>
  <c r="P143" i="1"/>
  <c r="P147" i="1"/>
  <c r="P148" i="1"/>
  <c r="P154" i="1"/>
  <c r="P155" i="1"/>
  <c r="P159" i="1"/>
  <c r="P160" i="1"/>
  <c r="P167" i="1"/>
  <c r="P171" i="1"/>
  <c r="P172" i="1"/>
  <c r="P178" i="1"/>
  <c r="P179" i="1"/>
  <c r="P183" i="1"/>
  <c r="P184" i="1"/>
  <c r="P191" i="1"/>
  <c r="P195" i="1"/>
  <c r="P196" i="1"/>
  <c r="P202" i="1"/>
  <c r="P203" i="1"/>
  <c r="P207" i="1"/>
  <c r="P208" i="1"/>
  <c r="P215" i="1"/>
  <c r="P219" i="1"/>
  <c r="P220" i="1"/>
  <c r="P226" i="1"/>
  <c r="P227" i="1"/>
  <c r="P231" i="1"/>
  <c r="P232" i="1"/>
  <c r="P239" i="1"/>
  <c r="P243" i="1"/>
  <c r="P244" i="1"/>
  <c r="P250" i="1"/>
  <c r="P251" i="1"/>
  <c r="P255" i="1"/>
  <c r="P256" i="1"/>
  <c r="P263" i="1"/>
  <c r="P267" i="1"/>
  <c r="P268" i="1"/>
  <c r="P274" i="1"/>
  <c r="P275" i="1"/>
  <c r="P279" i="1"/>
  <c r="P280" i="1"/>
  <c r="P287" i="1"/>
  <c r="P291" i="1"/>
  <c r="P292" i="1"/>
  <c r="P298" i="1"/>
  <c r="P299" i="1"/>
  <c r="P303" i="1"/>
  <c r="P304" i="1"/>
  <c r="P311" i="1"/>
  <c r="P315" i="1"/>
  <c r="P316" i="1"/>
  <c r="P322" i="1"/>
  <c r="P323" i="1"/>
  <c r="P327" i="1"/>
  <c r="P328" i="1"/>
  <c r="P335" i="1"/>
  <c r="P339" i="1"/>
  <c r="P340" i="1"/>
  <c r="P346" i="1"/>
  <c r="P347" i="1"/>
  <c r="P351" i="1"/>
  <c r="P352" i="1"/>
  <c r="P355" i="1"/>
  <c r="P358" i="1"/>
  <c r="P359" i="1"/>
  <c r="P363" i="1"/>
  <c r="P364" i="1"/>
  <c r="P369" i="1"/>
  <c r="P370" i="1"/>
  <c r="P371" i="1"/>
  <c r="P375" i="1"/>
  <c r="P381" i="1"/>
  <c r="P382" i="1"/>
  <c r="P383" i="1"/>
  <c r="P393" i="1"/>
  <c r="P394" i="1"/>
  <c r="P395" i="1"/>
  <c r="P405" i="1"/>
  <c r="P407" i="1"/>
  <c r="P411" i="1"/>
  <c r="P412" i="1"/>
  <c r="P419" i="1"/>
  <c r="P423" i="1"/>
  <c r="P424" i="1"/>
  <c r="P429" i="1"/>
  <c r="P430" i="1"/>
  <c r="P431" i="1"/>
  <c r="P435" i="1"/>
  <c r="P436" i="1"/>
  <c r="P441" i="1"/>
  <c r="P442" i="1"/>
  <c r="P443" i="1"/>
  <c r="P447" i="1"/>
  <c r="P453" i="1"/>
  <c r="P454" i="1"/>
  <c r="P455" i="1"/>
  <c r="P465" i="1"/>
  <c r="P466" i="1"/>
  <c r="P467" i="1"/>
  <c r="P471" i="1"/>
  <c r="P472" i="1"/>
  <c r="P477" i="1"/>
  <c r="P479" i="1"/>
  <c r="P483" i="1"/>
  <c r="P484" i="1"/>
  <c r="P490" i="1"/>
  <c r="P491" i="1"/>
  <c r="P495" i="1"/>
  <c r="P496" i="1"/>
  <c r="P499" i="1"/>
  <c r="P502" i="1"/>
  <c r="P503" i="1"/>
  <c r="P507" i="1"/>
  <c r="P508" i="1"/>
  <c r="P513" i="1"/>
  <c r="P514" i="1"/>
  <c r="P515" i="1"/>
  <c r="P519" i="1"/>
  <c r="P525" i="1"/>
  <c r="P526" i="1"/>
  <c r="P527" i="1"/>
  <c r="P537" i="1"/>
  <c r="P538" i="1"/>
  <c r="P539" i="1"/>
  <c r="P549" i="1"/>
  <c r="P551" i="1"/>
  <c r="P555" i="1"/>
  <c r="P556" i="1"/>
  <c r="P559" i="1"/>
  <c r="P562" i="1"/>
  <c r="P563" i="1"/>
  <c r="P567" i="1"/>
  <c r="P573" i="1"/>
  <c r="P574" i="1"/>
  <c r="P575" i="1"/>
  <c r="P585" i="1"/>
  <c r="P587" i="1"/>
  <c r="P591" i="1"/>
  <c r="P592" i="1"/>
  <c r="P595" i="1"/>
  <c r="P598" i="1"/>
  <c r="P599" i="1"/>
  <c r="P603" i="1"/>
  <c r="P609" i="1"/>
  <c r="P610" i="1"/>
  <c r="P611" i="1"/>
  <c r="P621" i="1"/>
  <c r="P623" i="1"/>
  <c r="P627" i="1"/>
  <c r="P628" i="1"/>
  <c r="P631" i="1"/>
  <c r="P634" i="1"/>
  <c r="P635" i="1"/>
  <c r="P639" i="1"/>
  <c r="P645" i="1"/>
  <c r="P646" i="1"/>
  <c r="P647" i="1"/>
  <c r="P657" i="1"/>
  <c r="P659" i="1"/>
  <c r="P663" i="1"/>
  <c r="P664" i="1"/>
  <c r="P667" i="1"/>
  <c r="P670" i="1"/>
  <c r="P671" i="1"/>
  <c r="P2" i="1"/>
  <c r="O3" i="1"/>
  <c r="O4" i="1"/>
  <c r="O5" i="1"/>
  <c r="P5" i="1" s="1"/>
  <c r="O6" i="1"/>
  <c r="P6" i="1" s="1"/>
  <c r="O7" i="1"/>
  <c r="P7" i="1" s="1"/>
  <c r="O8" i="1"/>
  <c r="P8" i="1" s="1"/>
  <c r="O9" i="1"/>
  <c r="P9" i="1" s="1"/>
  <c r="O10" i="1"/>
  <c r="O11" i="1"/>
  <c r="O12" i="1"/>
  <c r="P12" i="1" s="1"/>
  <c r="O13" i="1"/>
  <c r="P13" i="1" s="1"/>
  <c r="O14" i="1"/>
  <c r="P14" i="1" s="1"/>
  <c r="O15" i="1"/>
  <c r="O16" i="1"/>
  <c r="O17" i="1"/>
  <c r="P17" i="1" s="1"/>
  <c r="O18" i="1"/>
  <c r="P18" i="1" s="1"/>
  <c r="O19" i="1"/>
  <c r="P19" i="1" s="1"/>
  <c r="O20" i="1"/>
  <c r="P20" i="1" s="1"/>
  <c r="O21" i="1"/>
  <c r="P21" i="1" s="1"/>
  <c r="O22" i="1"/>
  <c r="P22" i="1" s="1"/>
  <c r="O23" i="1"/>
  <c r="O24" i="1"/>
  <c r="P24" i="1" s="1"/>
  <c r="O25" i="1"/>
  <c r="P25" i="1" s="1"/>
  <c r="O26" i="1"/>
  <c r="P26" i="1" s="1"/>
  <c r="O27" i="1"/>
  <c r="O28" i="1"/>
  <c r="O29" i="1"/>
  <c r="P29" i="1" s="1"/>
  <c r="O30" i="1"/>
  <c r="P30" i="1" s="1"/>
  <c r="O31" i="1"/>
  <c r="P31" i="1" s="1"/>
  <c r="O32" i="1"/>
  <c r="P32" i="1" s="1"/>
  <c r="O33" i="1"/>
  <c r="P33" i="1" s="1"/>
  <c r="O34" i="1"/>
  <c r="O35" i="1"/>
  <c r="O36" i="1"/>
  <c r="P36" i="1" s="1"/>
  <c r="O37" i="1"/>
  <c r="P37" i="1" s="1"/>
  <c r="O38" i="1"/>
  <c r="P38" i="1" s="1"/>
  <c r="O39" i="1"/>
  <c r="O40" i="1"/>
  <c r="O41" i="1"/>
  <c r="P41" i="1" s="1"/>
  <c r="O42" i="1"/>
  <c r="P42" i="1" s="1"/>
  <c r="O43" i="1"/>
  <c r="P43" i="1" s="1"/>
  <c r="O44" i="1"/>
  <c r="P44" i="1" s="1"/>
  <c r="O45" i="1"/>
  <c r="P45" i="1" s="1"/>
  <c r="O46" i="1"/>
  <c r="P46" i="1" s="1"/>
  <c r="O47" i="1"/>
  <c r="O48" i="1"/>
  <c r="P48" i="1" s="1"/>
  <c r="O49" i="1"/>
  <c r="P49" i="1" s="1"/>
  <c r="O50" i="1"/>
  <c r="P50" i="1" s="1"/>
  <c r="O51" i="1"/>
  <c r="O52" i="1"/>
  <c r="O53" i="1"/>
  <c r="P53" i="1" s="1"/>
  <c r="O54" i="1"/>
  <c r="P54" i="1" s="1"/>
  <c r="O55" i="1"/>
  <c r="P55" i="1" s="1"/>
  <c r="O56" i="1"/>
  <c r="P56" i="1" s="1"/>
  <c r="O57" i="1"/>
  <c r="P57" i="1" s="1"/>
  <c r="O58" i="1"/>
  <c r="O59" i="1"/>
  <c r="O60" i="1"/>
  <c r="P60" i="1" s="1"/>
  <c r="O61" i="1"/>
  <c r="P61" i="1" s="1"/>
  <c r="O62" i="1"/>
  <c r="P62" i="1" s="1"/>
  <c r="O63" i="1"/>
  <c r="O64" i="1"/>
  <c r="O65" i="1"/>
  <c r="P65" i="1" s="1"/>
  <c r="O66" i="1"/>
  <c r="P66" i="1" s="1"/>
  <c r="O67" i="1"/>
  <c r="P67" i="1" s="1"/>
  <c r="O68" i="1"/>
  <c r="P68" i="1" s="1"/>
  <c r="O69" i="1"/>
  <c r="P69" i="1" s="1"/>
  <c r="O70" i="1"/>
  <c r="P70" i="1" s="1"/>
  <c r="O71" i="1"/>
  <c r="O72" i="1"/>
  <c r="P72" i="1" s="1"/>
  <c r="O73" i="1"/>
  <c r="P73" i="1" s="1"/>
  <c r="O74" i="1"/>
  <c r="P74" i="1" s="1"/>
  <c r="O75" i="1"/>
  <c r="O76" i="1"/>
  <c r="O77" i="1"/>
  <c r="P77" i="1" s="1"/>
  <c r="O78" i="1"/>
  <c r="P78" i="1" s="1"/>
  <c r="O79" i="1"/>
  <c r="P79" i="1" s="1"/>
  <c r="O80" i="1"/>
  <c r="P80" i="1" s="1"/>
  <c r="O81" i="1"/>
  <c r="P81" i="1" s="1"/>
  <c r="O82" i="1"/>
  <c r="O83" i="1"/>
  <c r="O84" i="1"/>
  <c r="P84" i="1" s="1"/>
  <c r="O85" i="1"/>
  <c r="P85" i="1" s="1"/>
  <c r="O86" i="1"/>
  <c r="P86" i="1" s="1"/>
  <c r="O87" i="1"/>
  <c r="O88" i="1"/>
  <c r="O89" i="1"/>
  <c r="P89" i="1" s="1"/>
  <c r="O90" i="1"/>
  <c r="P90" i="1" s="1"/>
  <c r="O91" i="1"/>
  <c r="P91" i="1" s="1"/>
  <c r="O92" i="1"/>
  <c r="P92" i="1" s="1"/>
  <c r="O93" i="1"/>
  <c r="P93" i="1" s="1"/>
  <c r="O94" i="1"/>
  <c r="P94" i="1" s="1"/>
  <c r="O95" i="1"/>
  <c r="O96" i="1"/>
  <c r="P96" i="1" s="1"/>
  <c r="O97" i="1"/>
  <c r="P97" i="1" s="1"/>
  <c r="O98" i="1"/>
  <c r="P98" i="1" s="1"/>
  <c r="O99" i="1"/>
  <c r="O100" i="1"/>
  <c r="O101" i="1"/>
  <c r="P101" i="1" s="1"/>
  <c r="O102" i="1"/>
  <c r="P102" i="1" s="1"/>
  <c r="O103" i="1"/>
  <c r="P103" i="1" s="1"/>
  <c r="O104" i="1"/>
  <c r="P104" i="1" s="1"/>
  <c r="O105" i="1"/>
  <c r="P105" i="1" s="1"/>
  <c r="O106" i="1"/>
  <c r="O107" i="1"/>
  <c r="O108" i="1"/>
  <c r="P108" i="1" s="1"/>
  <c r="O109" i="1"/>
  <c r="P109" i="1" s="1"/>
  <c r="O110" i="1"/>
  <c r="P110" i="1" s="1"/>
  <c r="O111" i="1"/>
  <c r="O112" i="1"/>
  <c r="O113" i="1"/>
  <c r="P113" i="1" s="1"/>
  <c r="O114" i="1"/>
  <c r="P114" i="1" s="1"/>
  <c r="O115" i="1"/>
  <c r="P115" i="1" s="1"/>
  <c r="O116" i="1"/>
  <c r="P116" i="1" s="1"/>
  <c r="O117" i="1"/>
  <c r="P117" i="1" s="1"/>
  <c r="O118" i="1"/>
  <c r="P118" i="1" s="1"/>
  <c r="O119" i="1"/>
  <c r="O120" i="1"/>
  <c r="P120" i="1" s="1"/>
  <c r="O121" i="1"/>
  <c r="P121" i="1" s="1"/>
  <c r="O122" i="1"/>
  <c r="P122" i="1" s="1"/>
  <c r="O123" i="1"/>
  <c r="O124" i="1"/>
  <c r="O125" i="1"/>
  <c r="P125" i="1" s="1"/>
  <c r="O126" i="1"/>
  <c r="P126" i="1" s="1"/>
  <c r="O127" i="1"/>
  <c r="P127" i="1" s="1"/>
  <c r="O128" i="1"/>
  <c r="P128" i="1" s="1"/>
  <c r="O129" i="1"/>
  <c r="P129" i="1" s="1"/>
  <c r="O130" i="1"/>
  <c r="O131" i="1"/>
  <c r="O132" i="1"/>
  <c r="P132" i="1" s="1"/>
  <c r="O133" i="1"/>
  <c r="P133" i="1" s="1"/>
  <c r="O134" i="1"/>
  <c r="P134" i="1" s="1"/>
  <c r="O135" i="1"/>
  <c r="O136" i="1"/>
  <c r="O137" i="1"/>
  <c r="P137" i="1" s="1"/>
  <c r="O138" i="1"/>
  <c r="P138" i="1" s="1"/>
  <c r="O139" i="1"/>
  <c r="P139" i="1" s="1"/>
  <c r="O140" i="1"/>
  <c r="P140" i="1" s="1"/>
  <c r="O141" i="1"/>
  <c r="P141" i="1" s="1"/>
  <c r="O142" i="1"/>
  <c r="P142" i="1" s="1"/>
  <c r="O143" i="1"/>
  <c r="O144" i="1"/>
  <c r="P144" i="1" s="1"/>
  <c r="O145" i="1"/>
  <c r="P145" i="1" s="1"/>
  <c r="O146" i="1"/>
  <c r="P146" i="1" s="1"/>
  <c r="O147" i="1"/>
  <c r="O148" i="1"/>
  <c r="O149" i="1"/>
  <c r="P149" i="1" s="1"/>
  <c r="O150" i="1"/>
  <c r="P150" i="1" s="1"/>
  <c r="O151" i="1"/>
  <c r="P151" i="1" s="1"/>
  <c r="O152" i="1"/>
  <c r="P152" i="1" s="1"/>
  <c r="O153" i="1"/>
  <c r="P153" i="1" s="1"/>
  <c r="O154" i="1"/>
  <c r="O155" i="1"/>
  <c r="O156" i="1"/>
  <c r="P156" i="1" s="1"/>
  <c r="O157" i="1"/>
  <c r="P157" i="1" s="1"/>
  <c r="O158" i="1"/>
  <c r="P158" i="1" s="1"/>
  <c r="O159" i="1"/>
  <c r="O160" i="1"/>
  <c r="O161" i="1"/>
  <c r="P161" i="1" s="1"/>
  <c r="O162" i="1"/>
  <c r="P162" i="1" s="1"/>
  <c r="O163" i="1"/>
  <c r="P163" i="1" s="1"/>
  <c r="O164" i="1"/>
  <c r="P164" i="1" s="1"/>
  <c r="O165" i="1"/>
  <c r="P165" i="1" s="1"/>
  <c r="O166" i="1"/>
  <c r="P166" i="1" s="1"/>
  <c r="O167" i="1"/>
  <c r="O168" i="1"/>
  <c r="P168" i="1" s="1"/>
  <c r="O169" i="1"/>
  <c r="P169" i="1" s="1"/>
  <c r="O170" i="1"/>
  <c r="P170" i="1" s="1"/>
  <c r="O171" i="1"/>
  <c r="O172" i="1"/>
  <c r="O173" i="1"/>
  <c r="P173" i="1" s="1"/>
  <c r="O174" i="1"/>
  <c r="P174" i="1" s="1"/>
  <c r="O175" i="1"/>
  <c r="P175" i="1" s="1"/>
  <c r="O176" i="1"/>
  <c r="P176" i="1" s="1"/>
  <c r="O177" i="1"/>
  <c r="P177" i="1" s="1"/>
  <c r="O178" i="1"/>
  <c r="O179" i="1"/>
  <c r="O180" i="1"/>
  <c r="P180" i="1" s="1"/>
  <c r="O181" i="1"/>
  <c r="P181" i="1" s="1"/>
  <c r="O182" i="1"/>
  <c r="P182" i="1" s="1"/>
  <c r="O183" i="1"/>
  <c r="O184" i="1"/>
  <c r="O185" i="1"/>
  <c r="P185" i="1" s="1"/>
  <c r="O186" i="1"/>
  <c r="P186" i="1" s="1"/>
  <c r="O187" i="1"/>
  <c r="P187" i="1" s="1"/>
  <c r="O188" i="1"/>
  <c r="P188" i="1" s="1"/>
  <c r="O189" i="1"/>
  <c r="P189" i="1" s="1"/>
  <c r="O190" i="1"/>
  <c r="P190" i="1" s="1"/>
  <c r="O191" i="1"/>
  <c r="O192" i="1"/>
  <c r="P192" i="1" s="1"/>
  <c r="O193" i="1"/>
  <c r="P193" i="1" s="1"/>
  <c r="O194" i="1"/>
  <c r="P194" i="1" s="1"/>
  <c r="O195" i="1"/>
  <c r="O196" i="1"/>
  <c r="O197" i="1"/>
  <c r="P197" i="1" s="1"/>
  <c r="O198" i="1"/>
  <c r="P198" i="1" s="1"/>
  <c r="O199" i="1"/>
  <c r="P199" i="1" s="1"/>
  <c r="O200" i="1"/>
  <c r="P200" i="1" s="1"/>
  <c r="O201" i="1"/>
  <c r="P201" i="1" s="1"/>
  <c r="O202" i="1"/>
  <c r="O203" i="1"/>
  <c r="O204" i="1"/>
  <c r="P204" i="1" s="1"/>
  <c r="O205" i="1"/>
  <c r="P205" i="1" s="1"/>
  <c r="O206" i="1"/>
  <c r="P206" i="1" s="1"/>
  <c r="O207" i="1"/>
  <c r="O208" i="1"/>
  <c r="O209" i="1"/>
  <c r="P209" i="1" s="1"/>
  <c r="O210" i="1"/>
  <c r="P210" i="1" s="1"/>
  <c r="O211" i="1"/>
  <c r="P211" i="1" s="1"/>
  <c r="O212" i="1"/>
  <c r="P212" i="1" s="1"/>
  <c r="O213" i="1"/>
  <c r="P213" i="1" s="1"/>
  <c r="O214" i="1"/>
  <c r="P214" i="1" s="1"/>
  <c r="O215" i="1"/>
  <c r="O216" i="1"/>
  <c r="P216" i="1" s="1"/>
  <c r="O217" i="1"/>
  <c r="P217" i="1" s="1"/>
  <c r="O218" i="1"/>
  <c r="P218" i="1" s="1"/>
  <c r="O219" i="1"/>
  <c r="O220" i="1"/>
  <c r="O221" i="1"/>
  <c r="P221" i="1" s="1"/>
  <c r="O222" i="1"/>
  <c r="P222" i="1" s="1"/>
  <c r="O223" i="1"/>
  <c r="P223" i="1" s="1"/>
  <c r="O224" i="1"/>
  <c r="P224" i="1" s="1"/>
  <c r="O225" i="1"/>
  <c r="P225" i="1" s="1"/>
  <c r="O226" i="1"/>
  <c r="O227" i="1"/>
  <c r="O228" i="1"/>
  <c r="P228" i="1" s="1"/>
  <c r="O229" i="1"/>
  <c r="P229" i="1" s="1"/>
  <c r="O230" i="1"/>
  <c r="P230" i="1" s="1"/>
  <c r="O231" i="1"/>
  <c r="O232" i="1"/>
  <c r="O233" i="1"/>
  <c r="P233" i="1" s="1"/>
  <c r="O234" i="1"/>
  <c r="P234" i="1" s="1"/>
  <c r="O235" i="1"/>
  <c r="P235" i="1" s="1"/>
  <c r="O236" i="1"/>
  <c r="P236" i="1" s="1"/>
  <c r="O237" i="1"/>
  <c r="P237" i="1" s="1"/>
  <c r="O238" i="1"/>
  <c r="P238" i="1" s="1"/>
  <c r="O239" i="1"/>
  <c r="O240" i="1"/>
  <c r="P240" i="1" s="1"/>
  <c r="O241" i="1"/>
  <c r="P241" i="1" s="1"/>
  <c r="O242" i="1"/>
  <c r="P242" i="1" s="1"/>
  <c r="O243" i="1"/>
  <c r="O244" i="1"/>
  <c r="O245" i="1"/>
  <c r="P245" i="1" s="1"/>
  <c r="O246" i="1"/>
  <c r="P246" i="1" s="1"/>
  <c r="O247" i="1"/>
  <c r="P247" i="1" s="1"/>
  <c r="O248" i="1"/>
  <c r="P248" i="1" s="1"/>
  <c r="O249" i="1"/>
  <c r="P249" i="1" s="1"/>
  <c r="O250" i="1"/>
  <c r="O251" i="1"/>
  <c r="O252" i="1"/>
  <c r="P252" i="1" s="1"/>
  <c r="O253" i="1"/>
  <c r="P253" i="1" s="1"/>
  <c r="O254" i="1"/>
  <c r="P254" i="1" s="1"/>
  <c r="O255" i="1"/>
  <c r="O256" i="1"/>
  <c r="O257" i="1"/>
  <c r="P257" i="1" s="1"/>
  <c r="O258" i="1"/>
  <c r="P258" i="1" s="1"/>
  <c r="O259" i="1"/>
  <c r="P259" i="1" s="1"/>
  <c r="O260" i="1"/>
  <c r="P260" i="1" s="1"/>
  <c r="O261" i="1"/>
  <c r="P261" i="1" s="1"/>
  <c r="O262" i="1"/>
  <c r="P262" i="1" s="1"/>
  <c r="O263" i="1"/>
  <c r="O264" i="1"/>
  <c r="P264" i="1" s="1"/>
  <c r="O265" i="1"/>
  <c r="P265" i="1" s="1"/>
  <c r="O266" i="1"/>
  <c r="P266" i="1" s="1"/>
  <c r="O267" i="1"/>
  <c r="O268" i="1"/>
  <c r="O269" i="1"/>
  <c r="P269" i="1" s="1"/>
  <c r="O270" i="1"/>
  <c r="P270" i="1" s="1"/>
  <c r="O271" i="1"/>
  <c r="P271" i="1" s="1"/>
  <c r="O272" i="1"/>
  <c r="P272" i="1" s="1"/>
  <c r="O273" i="1"/>
  <c r="P273" i="1" s="1"/>
  <c r="O274" i="1"/>
  <c r="O275" i="1"/>
  <c r="O276" i="1"/>
  <c r="P276" i="1" s="1"/>
  <c r="O277" i="1"/>
  <c r="P277" i="1" s="1"/>
  <c r="O278" i="1"/>
  <c r="P278" i="1" s="1"/>
  <c r="O279" i="1"/>
  <c r="O280" i="1"/>
  <c r="O281" i="1"/>
  <c r="P281" i="1" s="1"/>
  <c r="O282" i="1"/>
  <c r="P282" i="1" s="1"/>
  <c r="O283" i="1"/>
  <c r="P283" i="1" s="1"/>
  <c r="O284" i="1"/>
  <c r="P284" i="1" s="1"/>
  <c r="O285" i="1"/>
  <c r="P285" i="1" s="1"/>
  <c r="O286" i="1"/>
  <c r="P286" i="1" s="1"/>
  <c r="O287" i="1"/>
  <c r="O288" i="1"/>
  <c r="P288" i="1" s="1"/>
  <c r="O289" i="1"/>
  <c r="P289" i="1" s="1"/>
  <c r="O290" i="1"/>
  <c r="P290" i="1" s="1"/>
  <c r="O291" i="1"/>
  <c r="O292" i="1"/>
  <c r="O293" i="1"/>
  <c r="P293" i="1" s="1"/>
  <c r="O294" i="1"/>
  <c r="P294" i="1" s="1"/>
  <c r="O295" i="1"/>
  <c r="P295" i="1" s="1"/>
  <c r="O296" i="1"/>
  <c r="P296" i="1" s="1"/>
  <c r="O297" i="1"/>
  <c r="P297" i="1" s="1"/>
  <c r="O298" i="1"/>
  <c r="O299" i="1"/>
  <c r="O300" i="1"/>
  <c r="P300" i="1" s="1"/>
  <c r="O301" i="1"/>
  <c r="P301" i="1" s="1"/>
  <c r="O302" i="1"/>
  <c r="P302" i="1" s="1"/>
  <c r="O303" i="1"/>
  <c r="O304" i="1"/>
  <c r="O305" i="1"/>
  <c r="P305" i="1" s="1"/>
  <c r="O306" i="1"/>
  <c r="P306" i="1" s="1"/>
  <c r="O307" i="1"/>
  <c r="P307" i="1" s="1"/>
  <c r="O308" i="1"/>
  <c r="P308" i="1" s="1"/>
  <c r="O309" i="1"/>
  <c r="P309" i="1" s="1"/>
  <c r="O310" i="1"/>
  <c r="P310" i="1" s="1"/>
  <c r="O311" i="1"/>
  <c r="O312" i="1"/>
  <c r="P312" i="1" s="1"/>
  <c r="O313" i="1"/>
  <c r="P313" i="1" s="1"/>
  <c r="O314" i="1"/>
  <c r="P314" i="1" s="1"/>
  <c r="O315" i="1"/>
  <c r="O316" i="1"/>
  <c r="O317" i="1"/>
  <c r="P317" i="1" s="1"/>
  <c r="O318" i="1"/>
  <c r="P318" i="1" s="1"/>
  <c r="O319" i="1"/>
  <c r="P319" i="1" s="1"/>
  <c r="O320" i="1"/>
  <c r="P320" i="1" s="1"/>
  <c r="O321" i="1"/>
  <c r="P321" i="1" s="1"/>
  <c r="O322" i="1"/>
  <c r="O323" i="1"/>
  <c r="O324" i="1"/>
  <c r="P324" i="1" s="1"/>
  <c r="O325" i="1"/>
  <c r="P325" i="1" s="1"/>
  <c r="O326" i="1"/>
  <c r="P326" i="1" s="1"/>
  <c r="O327" i="1"/>
  <c r="O328" i="1"/>
  <c r="O329" i="1"/>
  <c r="P329" i="1" s="1"/>
  <c r="O330" i="1"/>
  <c r="P330" i="1" s="1"/>
  <c r="O331" i="1"/>
  <c r="P331" i="1" s="1"/>
  <c r="O332" i="1"/>
  <c r="P332" i="1" s="1"/>
  <c r="O333" i="1"/>
  <c r="P333" i="1" s="1"/>
  <c r="O334" i="1"/>
  <c r="P334" i="1" s="1"/>
  <c r="O335" i="1"/>
  <c r="O336" i="1"/>
  <c r="P336" i="1" s="1"/>
  <c r="O337" i="1"/>
  <c r="P337" i="1" s="1"/>
  <c r="O338" i="1"/>
  <c r="P338" i="1" s="1"/>
  <c r="O339" i="1"/>
  <c r="O340" i="1"/>
  <c r="O341" i="1"/>
  <c r="P341" i="1" s="1"/>
  <c r="O342" i="1"/>
  <c r="P342" i="1" s="1"/>
  <c r="O343" i="1"/>
  <c r="P343" i="1" s="1"/>
  <c r="O344" i="1"/>
  <c r="P344" i="1" s="1"/>
  <c r="O345" i="1"/>
  <c r="P345" i="1" s="1"/>
  <c r="O346" i="1"/>
  <c r="O347" i="1"/>
  <c r="O348" i="1"/>
  <c r="P348" i="1" s="1"/>
  <c r="O349" i="1"/>
  <c r="P349" i="1" s="1"/>
  <c r="O350" i="1"/>
  <c r="P350" i="1" s="1"/>
  <c r="O351" i="1"/>
  <c r="O352" i="1"/>
  <c r="O353" i="1"/>
  <c r="P353" i="1" s="1"/>
  <c r="O354" i="1"/>
  <c r="P354" i="1" s="1"/>
  <c r="O355" i="1"/>
  <c r="O356" i="1"/>
  <c r="P356" i="1" s="1"/>
  <c r="O357" i="1"/>
  <c r="P357" i="1" s="1"/>
  <c r="O358" i="1"/>
  <c r="O359" i="1"/>
  <c r="O360" i="1"/>
  <c r="P360" i="1" s="1"/>
  <c r="O361" i="1"/>
  <c r="P361" i="1" s="1"/>
  <c r="O362" i="1"/>
  <c r="P362" i="1" s="1"/>
  <c r="O363" i="1"/>
  <c r="O364" i="1"/>
  <c r="O365" i="1"/>
  <c r="P365" i="1" s="1"/>
  <c r="O366" i="1"/>
  <c r="P366" i="1" s="1"/>
  <c r="O367" i="1"/>
  <c r="P367" i="1" s="1"/>
  <c r="O368" i="1"/>
  <c r="P368" i="1" s="1"/>
  <c r="O369" i="1"/>
  <c r="O370" i="1"/>
  <c r="O371" i="1"/>
  <c r="O372" i="1"/>
  <c r="P372" i="1" s="1"/>
  <c r="O373" i="1"/>
  <c r="P373" i="1" s="1"/>
  <c r="O374" i="1"/>
  <c r="P374" i="1" s="1"/>
  <c r="O375" i="1"/>
  <c r="O376" i="1"/>
  <c r="P376" i="1" s="1"/>
  <c r="O377" i="1"/>
  <c r="P377" i="1" s="1"/>
  <c r="O378" i="1"/>
  <c r="P378" i="1" s="1"/>
  <c r="O379" i="1"/>
  <c r="P379" i="1" s="1"/>
  <c r="O380" i="1"/>
  <c r="P380" i="1" s="1"/>
  <c r="O381" i="1"/>
  <c r="O382" i="1"/>
  <c r="O383" i="1"/>
  <c r="O384" i="1"/>
  <c r="P384" i="1" s="1"/>
  <c r="O385" i="1"/>
  <c r="P385" i="1" s="1"/>
  <c r="O386" i="1"/>
  <c r="P386" i="1" s="1"/>
  <c r="O387" i="1"/>
  <c r="P387" i="1" s="1"/>
  <c r="O388" i="1"/>
  <c r="P388" i="1" s="1"/>
  <c r="O389" i="1"/>
  <c r="P389" i="1" s="1"/>
  <c r="O390" i="1"/>
  <c r="P390" i="1" s="1"/>
  <c r="O391" i="1"/>
  <c r="P391" i="1" s="1"/>
  <c r="O392" i="1"/>
  <c r="P392" i="1" s="1"/>
  <c r="O393" i="1"/>
  <c r="O394" i="1"/>
  <c r="O395" i="1"/>
  <c r="O396" i="1"/>
  <c r="P396" i="1" s="1"/>
  <c r="O397" i="1"/>
  <c r="P397" i="1" s="1"/>
  <c r="O398" i="1"/>
  <c r="P398" i="1" s="1"/>
  <c r="O399" i="1"/>
  <c r="P399" i="1" s="1"/>
  <c r="O400" i="1"/>
  <c r="P400" i="1" s="1"/>
  <c r="O401" i="1"/>
  <c r="P401" i="1" s="1"/>
  <c r="O402" i="1"/>
  <c r="P402" i="1" s="1"/>
  <c r="O403" i="1"/>
  <c r="P403" i="1" s="1"/>
  <c r="O404" i="1"/>
  <c r="P404" i="1" s="1"/>
  <c r="O405" i="1"/>
  <c r="O406" i="1"/>
  <c r="P406" i="1" s="1"/>
  <c r="O407" i="1"/>
  <c r="O408" i="1"/>
  <c r="P408" i="1" s="1"/>
  <c r="O409" i="1"/>
  <c r="P409" i="1" s="1"/>
  <c r="O410" i="1"/>
  <c r="P410" i="1" s="1"/>
  <c r="O411" i="1"/>
  <c r="O412" i="1"/>
  <c r="O413" i="1"/>
  <c r="P413" i="1" s="1"/>
  <c r="O414" i="1"/>
  <c r="P414" i="1" s="1"/>
  <c r="O415" i="1"/>
  <c r="P415" i="1" s="1"/>
  <c r="O416" i="1"/>
  <c r="P416" i="1" s="1"/>
  <c r="O417" i="1"/>
  <c r="P417" i="1" s="1"/>
  <c r="O418" i="1"/>
  <c r="P418" i="1" s="1"/>
  <c r="O419" i="1"/>
  <c r="O420" i="1"/>
  <c r="P420" i="1" s="1"/>
  <c r="O421" i="1"/>
  <c r="P421" i="1" s="1"/>
  <c r="O422" i="1"/>
  <c r="P422" i="1" s="1"/>
  <c r="O423" i="1"/>
  <c r="O424" i="1"/>
  <c r="O425" i="1"/>
  <c r="P425" i="1" s="1"/>
  <c r="O426" i="1"/>
  <c r="P426" i="1" s="1"/>
  <c r="O427" i="1"/>
  <c r="P427" i="1" s="1"/>
  <c r="O428" i="1"/>
  <c r="P428" i="1" s="1"/>
  <c r="O429" i="1"/>
  <c r="O430" i="1"/>
  <c r="O431" i="1"/>
  <c r="O432" i="1"/>
  <c r="P432" i="1" s="1"/>
  <c r="O433" i="1"/>
  <c r="P433" i="1" s="1"/>
  <c r="O434" i="1"/>
  <c r="P434" i="1" s="1"/>
  <c r="O435" i="1"/>
  <c r="O436" i="1"/>
  <c r="O437" i="1"/>
  <c r="P437" i="1" s="1"/>
  <c r="O438" i="1"/>
  <c r="P438" i="1" s="1"/>
  <c r="O439" i="1"/>
  <c r="P439" i="1" s="1"/>
  <c r="O440" i="1"/>
  <c r="P440" i="1" s="1"/>
  <c r="O441" i="1"/>
  <c r="O442" i="1"/>
  <c r="O443" i="1"/>
  <c r="O444" i="1"/>
  <c r="P444" i="1" s="1"/>
  <c r="O445" i="1"/>
  <c r="P445" i="1" s="1"/>
  <c r="O446" i="1"/>
  <c r="P446" i="1" s="1"/>
  <c r="O447" i="1"/>
  <c r="O448" i="1"/>
  <c r="P448" i="1" s="1"/>
  <c r="O449" i="1"/>
  <c r="P449" i="1" s="1"/>
  <c r="O450" i="1"/>
  <c r="P450" i="1" s="1"/>
  <c r="O451" i="1"/>
  <c r="P451" i="1" s="1"/>
  <c r="O452" i="1"/>
  <c r="P452" i="1" s="1"/>
  <c r="O453" i="1"/>
  <c r="O454" i="1"/>
  <c r="O455" i="1"/>
  <c r="O456" i="1"/>
  <c r="P456" i="1" s="1"/>
  <c r="O457" i="1"/>
  <c r="P457" i="1" s="1"/>
  <c r="O458" i="1"/>
  <c r="P458" i="1" s="1"/>
  <c r="O459" i="1"/>
  <c r="P459" i="1" s="1"/>
  <c r="O460" i="1"/>
  <c r="P460" i="1" s="1"/>
  <c r="O461" i="1"/>
  <c r="P461" i="1" s="1"/>
  <c r="O462" i="1"/>
  <c r="P462" i="1" s="1"/>
  <c r="O463" i="1"/>
  <c r="P463" i="1" s="1"/>
  <c r="O464" i="1"/>
  <c r="P464" i="1" s="1"/>
  <c r="O465" i="1"/>
  <c r="O466" i="1"/>
  <c r="O467" i="1"/>
  <c r="O468" i="1"/>
  <c r="P468" i="1" s="1"/>
  <c r="O469" i="1"/>
  <c r="P469" i="1" s="1"/>
  <c r="O470" i="1"/>
  <c r="P470" i="1" s="1"/>
  <c r="O471" i="1"/>
  <c r="O472" i="1"/>
  <c r="O473" i="1"/>
  <c r="P473" i="1" s="1"/>
  <c r="O474" i="1"/>
  <c r="P474" i="1" s="1"/>
  <c r="O475" i="1"/>
  <c r="P475" i="1" s="1"/>
  <c r="O476" i="1"/>
  <c r="P476" i="1" s="1"/>
  <c r="O477" i="1"/>
  <c r="O478" i="1"/>
  <c r="P478" i="1" s="1"/>
  <c r="O479" i="1"/>
  <c r="O480" i="1"/>
  <c r="P480" i="1" s="1"/>
  <c r="O481" i="1"/>
  <c r="P481" i="1" s="1"/>
  <c r="O482" i="1"/>
  <c r="P482" i="1" s="1"/>
  <c r="O483" i="1"/>
  <c r="O484" i="1"/>
  <c r="O485" i="1"/>
  <c r="P485" i="1" s="1"/>
  <c r="O486" i="1"/>
  <c r="P486" i="1" s="1"/>
  <c r="O487" i="1"/>
  <c r="P487" i="1" s="1"/>
  <c r="O488" i="1"/>
  <c r="P488" i="1" s="1"/>
  <c r="O489" i="1"/>
  <c r="P489" i="1" s="1"/>
  <c r="O490" i="1"/>
  <c r="O491" i="1"/>
  <c r="O492" i="1"/>
  <c r="P492" i="1" s="1"/>
  <c r="O493" i="1"/>
  <c r="P493" i="1" s="1"/>
  <c r="O494" i="1"/>
  <c r="P494" i="1" s="1"/>
  <c r="O495" i="1"/>
  <c r="O496" i="1"/>
  <c r="O497" i="1"/>
  <c r="P497" i="1" s="1"/>
  <c r="O498" i="1"/>
  <c r="P498" i="1" s="1"/>
  <c r="O499" i="1"/>
  <c r="O500" i="1"/>
  <c r="P500" i="1" s="1"/>
  <c r="O501" i="1"/>
  <c r="P501" i="1" s="1"/>
  <c r="O502" i="1"/>
  <c r="O503" i="1"/>
  <c r="O504" i="1"/>
  <c r="P504" i="1" s="1"/>
  <c r="O505" i="1"/>
  <c r="P505" i="1" s="1"/>
  <c r="O506" i="1"/>
  <c r="P506" i="1" s="1"/>
  <c r="O507" i="1"/>
  <c r="O508" i="1"/>
  <c r="O509" i="1"/>
  <c r="P509" i="1" s="1"/>
  <c r="O510" i="1"/>
  <c r="P510" i="1" s="1"/>
  <c r="O511" i="1"/>
  <c r="P511" i="1" s="1"/>
  <c r="O512" i="1"/>
  <c r="P512" i="1" s="1"/>
  <c r="O513" i="1"/>
  <c r="O514" i="1"/>
  <c r="O515" i="1"/>
  <c r="O516" i="1"/>
  <c r="P516" i="1" s="1"/>
  <c r="O517" i="1"/>
  <c r="P517" i="1" s="1"/>
  <c r="O518" i="1"/>
  <c r="P518" i="1" s="1"/>
  <c r="O519" i="1"/>
  <c r="O520" i="1"/>
  <c r="P520" i="1" s="1"/>
  <c r="O521" i="1"/>
  <c r="P521" i="1" s="1"/>
  <c r="O522" i="1"/>
  <c r="P522" i="1" s="1"/>
  <c r="O523" i="1"/>
  <c r="P523" i="1" s="1"/>
  <c r="O524" i="1"/>
  <c r="P524" i="1" s="1"/>
  <c r="O525" i="1"/>
  <c r="O526" i="1"/>
  <c r="O527" i="1"/>
  <c r="O528" i="1"/>
  <c r="P528" i="1" s="1"/>
  <c r="O529" i="1"/>
  <c r="P529" i="1" s="1"/>
  <c r="O530" i="1"/>
  <c r="P530" i="1" s="1"/>
  <c r="O531" i="1"/>
  <c r="P531" i="1" s="1"/>
  <c r="O532" i="1"/>
  <c r="P532" i="1" s="1"/>
  <c r="O533" i="1"/>
  <c r="P533" i="1" s="1"/>
  <c r="O534" i="1"/>
  <c r="P534" i="1" s="1"/>
  <c r="O535" i="1"/>
  <c r="P535" i="1" s="1"/>
  <c r="O536" i="1"/>
  <c r="P536" i="1" s="1"/>
  <c r="O537" i="1"/>
  <c r="O538" i="1"/>
  <c r="O539" i="1"/>
  <c r="O540" i="1"/>
  <c r="P540" i="1" s="1"/>
  <c r="O541" i="1"/>
  <c r="P541" i="1" s="1"/>
  <c r="O542" i="1"/>
  <c r="P542" i="1" s="1"/>
  <c r="O543" i="1"/>
  <c r="P543" i="1" s="1"/>
  <c r="O544" i="1"/>
  <c r="P544" i="1" s="1"/>
  <c r="O545" i="1"/>
  <c r="P545" i="1" s="1"/>
  <c r="O546" i="1"/>
  <c r="P546" i="1" s="1"/>
  <c r="O547" i="1"/>
  <c r="P547" i="1" s="1"/>
  <c r="O548" i="1"/>
  <c r="P548" i="1" s="1"/>
  <c r="O549" i="1"/>
  <c r="O550" i="1"/>
  <c r="P550" i="1" s="1"/>
  <c r="O551" i="1"/>
  <c r="O552" i="1"/>
  <c r="P552" i="1" s="1"/>
  <c r="O553" i="1"/>
  <c r="P553" i="1" s="1"/>
  <c r="O554" i="1"/>
  <c r="P554" i="1" s="1"/>
  <c r="O555" i="1"/>
  <c r="O556" i="1"/>
  <c r="O557" i="1"/>
  <c r="P557" i="1" s="1"/>
  <c r="O558" i="1"/>
  <c r="P558" i="1" s="1"/>
  <c r="O559" i="1"/>
  <c r="O560" i="1"/>
  <c r="P560" i="1" s="1"/>
  <c r="O561" i="1"/>
  <c r="P561" i="1" s="1"/>
  <c r="O562" i="1"/>
  <c r="O563" i="1"/>
  <c r="O564" i="1"/>
  <c r="P564" i="1" s="1"/>
  <c r="O565" i="1"/>
  <c r="P565" i="1" s="1"/>
  <c r="O566" i="1"/>
  <c r="P566" i="1" s="1"/>
  <c r="O567" i="1"/>
  <c r="O568" i="1"/>
  <c r="P568" i="1" s="1"/>
  <c r="O569" i="1"/>
  <c r="P569" i="1" s="1"/>
  <c r="O570" i="1"/>
  <c r="P570" i="1" s="1"/>
  <c r="O571" i="1"/>
  <c r="P571" i="1" s="1"/>
  <c r="O572" i="1"/>
  <c r="P572" i="1" s="1"/>
  <c r="O573" i="1"/>
  <c r="O574" i="1"/>
  <c r="O575" i="1"/>
  <c r="O576" i="1"/>
  <c r="P576" i="1" s="1"/>
  <c r="O577" i="1"/>
  <c r="P577" i="1" s="1"/>
  <c r="O578" i="1"/>
  <c r="P578" i="1" s="1"/>
  <c r="O579" i="1"/>
  <c r="P579" i="1" s="1"/>
  <c r="O580" i="1"/>
  <c r="P580" i="1" s="1"/>
  <c r="O581" i="1"/>
  <c r="P581" i="1" s="1"/>
  <c r="O582" i="1"/>
  <c r="P582" i="1" s="1"/>
  <c r="O583" i="1"/>
  <c r="P583" i="1" s="1"/>
  <c r="O584" i="1"/>
  <c r="P584" i="1" s="1"/>
  <c r="O585" i="1"/>
  <c r="O586" i="1"/>
  <c r="P586" i="1" s="1"/>
  <c r="O587" i="1"/>
  <c r="O588" i="1"/>
  <c r="P588" i="1" s="1"/>
  <c r="O589" i="1"/>
  <c r="P589" i="1" s="1"/>
  <c r="O590" i="1"/>
  <c r="P590" i="1" s="1"/>
  <c r="O591" i="1"/>
  <c r="O592" i="1"/>
  <c r="O593" i="1"/>
  <c r="P593" i="1" s="1"/>
  <c r="O594" i="1"/>
  <c r="P594" i="1" s="1"/>
  <c r="O595" i="1"/>
  <c r="O596" i="1"/>
  <c r="P596" i="1" s="1"/>
  <c r="O597" i="1"/>
  <c r="P597" i="1" s="1"/>
  <c r="O598" i="1"/>
  <c r="O599" i="1"/>
  <c r="O600" i="1"/>
  <c r="P600" i="1" s="1"/>
  <c r="O601" i="1"/>
  <c r="P601" i="1" s="1"/>
  <c r="O602" i="1"/>
  <c r="P602" i="1" s="1"/>
  <c r="O603" i="1"/>
  <c r="O604" i="1"/>
  <c r="P604" i="1" s="1"/>
  <c r="O605" i="1"/>
  <c r="P605" i="1" s="1"/>
  <c r="O606" i="1"/>
  <c r="P606" i="1" s="1"/>
  <c r="O607" i="1"/>
  <c r="P607" i="1" s="1"/>
  <c r="O608" i="1"/>
  <c r="P608" i="1" s="1"/>
  <c r="O609" i="1"/>
  <c r="O610" i="1"/>
  <c r="O611" i="1"/>
  <c r="O612" i="1"/>
  <c r="P612" i="1" s="1"/>
  <c r="O613" i="1"/>
  <c r="P613" i="1" s="1"/>
  <c r="O614" i="1"/>
  <c r="P614" i="1" s="1"/>
  <c r="O615" i="1"/>
  <c r="P615" i="1" s="1"/>
  <c r="O616" i="1"/>
  <c r="P616" i="1" s="1"/>
  <c r="O617" i="1"/>
  <c r="P617" i="1" s="1"/>
  <c r="O618" i="1"/>
  <c r="P618" i="1" s="1"/>
  <c r="O619" i="1"/>
  <c r="P619" i="1" s="1"/>
  <c r="O620" i="1"/>
  <c r="P620" i="1" s="1"/>
  <c r="O621" i="1"/>
  <c r="O622" i="1"/>
  <c r="P622" i="1" s="1"/>
  <c r="O623" i="1"/>
  <c r="O624" i="1"/>
  <c r="P624" i="1" s="1"/>
  <c r="O625" i="1"/>
  <c r="P625" i="1" s="1"/>
  <c r="O626" i="1"/>
  <c r="P626" i="1" s="1"/>
  <c r="O627" i="1"/>
  <c r="O628" i="1"/>
  <c r="O629" i="1"/>
  <c r="P629" i="1" s="1"/>
  <c r="O630" i="1"/>
  <c r="P630" i="1" s="1"/>
  <c r="O631" i="1"/>
  <c r="O632" i="1"/>
  <c r="P632" i="1" s="1"/>
  <c r="O633" i="1"/>
  <c r="P633" i="1" s="1"/>
  <c r="O634" i="1"/>
  <c r="O635" i="1"/>
  <c r="O636" i="1"/>
  <c r="P636" i="1" s="1"/>
  <c r="O637" i="1"/>
  <c r="P637" i="1" s="1"/>
  <c r="O638" i="1"/>
  <c r="P638" i="1" s="1"/>
  <c r="O639" i="1"/>
  <c r="O640" i="1"/>
  <c r="P640" i="1" s="1"/>
  <c r="O641" i="1"/>
  <c r="P641" i="1" s="1"/>
  <c r="O642" i="1"/>
  <c r="P642" i="1" s="1"/>
  <c r="O643" i="1"/>
  <c r="P643" i="1" s="1"/>
  <c r="O644" i="1"/>
  <c r="P644" i="1" s="1"/>
  <c r="O645" i="1"/>
  <c r="O646" i="1"/>
  <c r="O647" i="1"/>
  <c r="O648" i="1"/>
  <c r="P648" i="1" s="1"/>
  <c r="O649" i="1"/>
  <c r="P649" i="1" s="1"/>
  <c r="O650" i="1"/>
  <c r="P650" i="1" s="1"/>
  <c r="O651" i="1"/>
  <c r="P651" i="1" s="1"/>
  <c r="O652" i="1"/>
  <c r="P652" i="1" s="1"/>
  <c r="O653" i="1"/>
  <c r="P653" i="1" s="1"/>
  <c r="O654" i="1"/>
  <c r="P654" i="1" s="1"/>
  <c r="O655" i="1"/>
  <c r="P655" i="1" s="1"/>
  <c r="O656" i="1"/>
  <c r="P656" i="1" s="1"/>
  <c r="O657" i="1"/>
  <c r="O658" i="1"/>
  <c r="P658" i="1" s="1"/>
  <c r="O659" i="1"/>
  <c r="O660" i="1"/>
  <c r="P660" i="1" s="1"/>
  <c r="O661" i="1"/>
  <c r="P661" i="1" s="1"/>
  <c r="O662" i="1"/>
  <c r="P662" i="1" s="1"/>
  <c r="O663" i="1"/>
  <c r="O664" i="1"/>
  <c r="O665" i="1"/>
  <c r="P665" i="1" s="1"/>
  <c r="O666" i="1"/>
  <c r="P666" i="1" s="1"/>
  <c r="O667" i="1"/>
  <c r="O668" i="1"/>
  <c r="P668" i="1" s="1"/>
  <c r="O669" i="1"/>
  <c r="P669" i="1" s="1"/>
  <c r="O670" i="1"/>
  <c r="O671" i="1"/>
  <c r="O672" i="1"/>
  <c r="P672" i="1" s="1"/>
  <c r="O673" i="1"/>
  <c r="P673" i="1" s="1"/>
  <c r="O674" i="1"/>
  <c r="P674" i="1" s="1"/>
  <c r="O2" i="1"/>
  <c r="H3" i="1"/>
  <c r="H4" i="1"/>
  <c r="H5" i="1"/>
  <c r="H6" i="1"/>
  <c r="H7" i="1"/>
  <c r="I7" i="1" s="1"/>
  <c r="H8" i="1"/>
  <c r="I8" i="1" s="1"/>
  <c r="H9" i="1"/>
  <c r="H10" i="1"/>
  <c r="H11" i="1"/>
  <c r="I11" i="1" s="1"/>
  <c r="H12" i="1"/>
  <c r="I12" i="1" s="1"/>
  <c r="H13" i="1"/>
  <c r="H14" i="1"/>
  <c r="I14" i="1" s="1"/>
  <c r="H15" i="1"/>
  <c r="H16" i="1"/>
  <c r="H17" i="1"/>
  <c r="H18" i="1"/>
  <c r="I18" i="1" s="1"/>
  <c r="H19" i="1"/>
  <c r="I19" i="1" s="1"/>
  <c r="H20" i="1"/>
  <c r="I20" i="1" s="1"/>
  <c r="H21" i="1"/>
  <c r="H22" i="1"/>
  <c r="I22" i="1" s="1"/>
  <c r="H23" i="1"/>
  <c r="I23" i="1" s="1"/>
  <c r="H24" i="1"/>
  <c r="I24" i="1" s="1"/>
  <c r="H25" i="1"/>
  <c r="I25" i="1" s="1"/>
  <c r="H26" i="1"/>
  <c r="I26" i="1" s="1"/>
  <c r="H27" i="1"/>
  <c r="H28" i="1"/>
  <c r="H29" i="1"/>
  <c r="H30" i="1"/>
  <c r="I30" i="1" s="1"/>
  <c r="H31" i="1"/>
  <c r="I31" i="1" s="1"/>
  <c r="H32" i="1"/>
  <c r="I32" i="1" s="1"/>
  <c r="H33" i="1"/>
  <c r="H34" i="1"/>
  <c r="H35" i="1"/>
  <c r="I35" i="1" s="1"/>
  <c r="H36" i="1"/>
  <c r="I36" i="1" s="1"/>
  <c r="H37" i="1"/>
  <c r="I37" i="1" s="1"/>
  <c r="H38" i="1"/>
  <c r="I38" i="1" s="1"/>
  <c r="H39" i="1"/>
  <c r="H40" i="1"/>
  <c r="H41" i="1"/>
  <c r="H42" i="1"/>
  <c r="I42" i="1" s="1"/>
  <c r="H43" i="1"/>
  <c r="I43" i="1" s="1"/>
  <c r="H44" i="1"/>
  <c r="I44" i="1" s="1"/>
  <c r="H45" i="1"/>
  <c r="H46" i="1"/>
  <c r="H47" i="1"/>
  <c r="H48" i="1"/>
  <c r="I48" i="1" s="1"/>
  <c r="H49" i="1"/>
  <c r="I49" i="1" s="1"/>
  <c r="H50" i="1"/>
  <c r="I50" i="1" s="1"/>
  <c r="H51" i="1"/>
  <c r="H52" i="1"/>
  <c r="H53" i="1"/>
  <c r="H54" i="1"/>
  <c r="H55" i="1"/>
  <c r="I55" i="1" s="1"/>
  <c r="H56" i="1"/>
  <c r="I56" i="1" s="1"/>
  <c r="H57" i="1"/>
  <c r="H58" i="1"/>
  <c r="I58" i="1" s="1"/>
  <c r="H59" i="1"/>
  <c r="I59" i="1" s="1"/>
  <c r="H60" i="1"/>
  <c r="I60" i="1" s="1"/>
  <c r="H61" i="1"/>
  <c r="I61" i="1" s="1"/>
  <c r="H62" i="1"/>
  <c r="I62" i="1" s="1"/>
  <c r="H63" i="1"/>
  <c r="H64" i="1"/>
  <c r="H65" i="1"/>
  <c r="H66" i="1"/>
  <c r="H67" i="1"/>
  <c r="H68" i="1"/>
  <c r="I68" i="1" s="1"/>
  <c r="H69" i="1"/>
  <c r="H70" i="1"/>
  <c r="I70" i="1" s="1"/>
  <c r="H71" i="1"/>
  <c r="I71" i="1" s="1"/>
  <c r="H72" i="1"/>
  <c r="I72" i="1" s="1"/>
  <c r="H73" i="1"/>
  <c r="I73" i="1" s="1"/>
  <c r="H74" i="1"/>
  <c r="I74" i="1" s="1"/>
  <c r="H75" i="1"/>
  <c r="H76" i="1"/>
  <c r="H77" i="1"/>
  <c r="H78" i="1"/>
  <c r="H79" i="1"/>
  <c r="H80" i="1"/>
  <c r="H81" i="1"/>
  <c r="H82" i="1"/>
  <c r="I82" i="1" s="1"/>
  <c r="H83" i="1"/>
  <c r="I83" i="1" s="1"/>
  <c r="H84" i="1"/>
  <c r="I84" i="1" s="1"/>
  <c r="H85" i="1"/>
  <c r="I85" i="1" s="1"/>
  <c r="H86" i="1"/>
  <c r="I86" i="1" s="1"/>
  <c r="H87" i="1"/>
  <c r="H88" i="1"/>
  <c r="H89" i="1"/>
  <c r="H90" i="1"/>
  <c r="H91" i="1"/>
  <c r="H92" i="1"/>
  <c r="H93" i="1"/>
  <c r="H94" i="1"/>
  <c r="I94" i="1" s="1"/>
  <c r="H95" i="1"/>
  <c r="I95" i="1" s="1"/>
  <c r="H96" i="1"/>
  <c r="I96" i="1" s="1"/>
  <c r="H97" i="1"/>
  <c r="I97" i="1" s="1"/>
  <c r="H98" i="1"/>
  <c r="I98" i="1" s="1"/>
  <c r="H99" i="1"/>
  <c r="H100" i="1"/>
  <c r="H101" i="1"/>
  <c r="H102" i="1"/>
  <c r="H103" i="1"/>
  <c r="H104" i="1"/>
  <c r="H105" i="1"/>
  <c r="H106" i="1"/>
  <c r="H107" i="1"/>
  <c r="I107" i="1" s="1"/>
  <c r="H108" i="1"/>
  <c r="I108" i="1" s="1"/>
  <c r="H109" i="1"/>
  <c r="I109" i="1" s="1"/>
  <c r="H110" i="1"/>
  <c r="I110" i="1" s="1"/>
  <c r="H111" i="1"/>
  <c r="H112" i="1"/>
  <c r="H113" i="1"/>
  <c r="H114" i="1"/>
  <c r="I114" i="1" s="1"/>
  <c r="H115" i="1"/>
  <c r="I115" i="1" s="1"/>
  <c r="H116" i="1"/>
  <c r="H117" i="1"/>
  <c r="H118" i="1"/>
  <c r="H119" i="1"/>
  <c r="H120" i="1"/>
  <c r="I120" i="1" s="1"/>
  <c r="H121" i="1"/>
  <c r="I121" i="1" s="1"/>
  <c r="H122" i="1"/>
  <c r="I122" i="1" s="1"/>
  <c r="H123" i="1"/>
  <c r="H124" i="1"/>
  <c r="H125" i="1"/>
  <c r="H126" i="1"/>
  <c r="H127" i="1"/>
  <c r="I127" i="1" s="1"/>
  <c r="H128" i="1"/>
  <c r="I128" i="1" s="1"/>
  <c r="H129" i="1"/>
  <c r="H130" i="1"/>
  <c r="H131" i="1"/>
  <c r="H132" i="1"/>
  <c r="H133" i="1"/>
  <c r="I133" i="1" s="1"/>
  <c r="H134" i="1"/>
  <c r="I134" i="1" s="1"/>
  <c r="H135" i="1"/>
  <c r="H136" i="1"/>
  <c r="H137" i="1"/>
  <c r="H138" i="1"/>
  <c r="H139" i="1"/>
  <c r="H140" i="1"/>
  <c r="I140" i="1" s="1"/>
  <c r="H141" i="1"/>
  <c r="H142" i="1"/>
  <c r="H143" i="1"/>
  <c r="H144" i="1"/>
  <c r="H145" i="1"/>
  <c r="H146" i="1"/>
  <c r="I146" i="1" s="1"/>
  <c r="H147" i="1"/>
  <c r="H148" i="1"/>
  <c r="H149" i="1"/>
  <c r="H150" i="1"/>
  <c r="H151" i="1"/>
  <c r="H152" i="1"/>
  <c r="H153" i="1"/>
  <c r="H154" i="1"/>
  <c r="H155" i="1"/>
  <c r="H156" i="1"/>
  <c r="H157" i="1"/>
  <c r="H158" i="1"/>
  <c r="I158" i="1" s="1"/>
  <c r="H159" i="1"/>
  <c r="H160" i="1"/>
  <c r="H161" i="1"/>
  <c r="H162" i="1"/>
  <c r="I162" i="1" s="1"/>
  <c r="H163" i="1"/>
  <c r="I163" i="1" s="1"/>
  <c r="H164" i="1"/>
  <c r="I164" i="1" s="1"/>
  <c r="H165" i="1"/>
  <c r="H166" i="1"/>
  <c r="I166" i="1" s="1"/>
  <c r="H167" i="1"/>
  <c r="I167" i="1" s="1"/>
  <c r="H168" i="1"/>
  <c r="I168" i="1" s="1"/>
  <c r="H169" i="1"/>
  <c r="I169" i="1" s="1"/>
  <c r="H170" i="1"/>
  <c r="I170" i="1" s="1"/>
  <c r="H171" i="1"/>
  <c r="H172" i="1"/>
  <c r="H173" i="1"/>
  <c r="H174" i="1"/>
  <c r="I174" i="1" s="1"/>
  <c r="H175" i="1"/>
  <c r="I175" i="1" s="1"/>
  <c r="H176" i="1"/>
  <c r="I176" i="1" s="1"/>
  <c r="H177" i="1"/>
  <c r="H178" i="1"/>
  <c r="H179" i="1"/>
  <c r="I179" i="1" s="1"/>
  <c r="H180" i="1"/>
  <c r="I180" i="1" s="1"/>
  <c r="H181" i="1"/>
  <c r="I181" i="1" s="1"/>
  <c r="H182" i="1"/>
  <c r="I182" i="1" s="1"/>
  <c r="H183" i="1"/>
  <c r="H184" i="1"/>
  <c r="H185" i="1"/>
  <c r="H186" i="1"/>
  <c r="I186" i="1" s="1"/>
  <c r="H187" i="1"/>
  <c r="I187" i="1" s="1"/>
  <c r="H188" i="1"/>
  <c r="I188" i="1" s="1"/>
  <c r="H189" i="1"/>
  <c r="H190" i="1"/>
  <c r="H191" i="1"/>
  <c r="H192" i="1"/>
  <c r="I192" i="1" s="1"/>
  <c r="H193" i="1"/>
  <c r="I193" i="1" s="1"/>
  <c r="H194" i="1"/>
  <c r="I194" i="1" s="1"/>
  <c r="H195" i="1"/>
  <c r="H196" i="1"/>
  <c r="H197" i="1"/>
  <c r="H198" i="1"/>
  <c r="H199" i="1"/>
  <c r="I199" i="1" s="1"/>
  <c r="H200" i="1"/>
  <c r="I200" i="1" s="1"/>
  <c r="H201" i="1"/>
  <c r="H202" i="1"/>
  <c r="I202" i="1" s="1"/>
  <c r="H203" i="1"/>
  <c r="I203" i="1" s="1"/>
  <c r="H204" i="1"/>
  <c r="I204" i="1" s="1"/>
  <c r="H205" i="1"/>
  <c r="I205" i="1" s="1"/>
  <c r="H206" i="1"/>
  <c r="I206" i="1" s="1"/>
  <c r="H207" i="1"/>
  <c r="H208" i="1"/>
  <c r="H209" i="1"/>
  <c r="H210" i="1"/>
  <c r="H211" i="1"/>
  <c r="H212" i="1"/>
  <c r="I212" i="1" s="1"/>
  <c r="H213" i="1"/>
  <c r="H214" i="1"/>
  <c r="I214" i="1" s="1"/>
  <c r="H215" i="1"/>
  <c r="I215" i="1" s="1"/>
  <c r="H216" i="1"/>
  <c r="I216" i="1" s="1"/>
  <c r="H217" i="1"/>
  <c r="I217" i="1" s="1"/>
  <c r="H218" i="1"/>
  <c r="I218" i="1" s="1"/>
  <c r="H219" i="1"/>
  <c r="H220" i="1"/>
  <c r="H221" i="1"/>
  <c r="H222" i="1"/>
  <c r="H223" i="1"/>
  <c r="H224" i="1"/>
  <c r="H225" i="1"/>
  <c r="H226" i="1"/>
  <c r="I226" i="1" s="1"/>
  <c r="H227" i="1"/>
  <c r="I227" i="1" s="1"/>
  <c r="H228" i="1"/>
  <c r="I228" i="1" s="1"/>
  <c r="H229" i="1"/>
  <c r="I229" i="1" s="1"/>
  <c r="H230" i="1"/>
  <c r="I230" i="1" s="1"/>
  <c r="H231" i="1"/>
  <c r="H232" i="1"/>
  <c r="H233" i="1"/>
  <c r="H234" i="1"/>
  <c r="H235" i="1"/>
  <c r="I235" i="1" s="1"/>
  <c r="H236" i="1"/>
  <c r="H237" i="1"/>
  <c r="H238" i="1"/>
  <c r="I238" i="1" s="1"/>
  <c r="H239" i="1"/>
  <c r="I239" i="1" s="1"/>
  <c r="H240" i="1"/>
  <c r="I240" i="1" s="1"/>
  <c r="H241" i="1"/>
  <c r="I241" i="1" s="1"/>
  <c r="H242" i="1"/>
  <c r="I242" i="1" s="1"/>
  <c r="H243" i="1"/>
  <c r="H244" i="1"/>
  <c r="H245" i="1"/>
  <c r="H246" i="1"/>
  <c r="H247" i="1"/>
  <c r="I247" i="1" s="1"/>
  <c r="H248" i="1"/>
  <c r="H249" i="1"/>
  <c r="H250" i="1"/>
  <c r="H251" i="1"/>
  <c r="I251" i="1" s="1"/>
  <c r="H252" i="1"/>
  <c r="I252" i="1" s="1"/>
  <c r="H253" i="1"/>
  <c r="I253" i="1" s="1"/>
  <c r="H254" i="1"/>
  <c r="I254" i="1" s="1"/>
  <c r="H255" i="1"/>
  <c r="H256" i="1"/>
  <c r="H257" i="1"/>
  <c r="H258" i="1"/>
  <c r="I258" i="1" s="1"/>
  <c r="H259" i="1"/>
  <c r="I259" i="1" s="1"/>
  <c r="H260" i="1"/>
  <c r="H261" i="1"/>
  <c r="H262" i="1"/>
  <c r="H263" i="1"/>
  <c r="H264" i="1"/>
  <c r="I264" i="1" s="1"/>
  <c r="H265" i="1"/>
  <c r="I265" i="1" s="1"/>
  <c r="H266" i="1"/>
  <c r="I266" i="1" s="1"/>
  <c r="H267" i="1"/>
  <c r="H268" i="1"/>
  <c r="H269" i="1"/>
  <c r="H270" i="1"/>
  <c r="H271" i="1"/>
  <c r="I271" i="1" s="1"/>
  <c r="H272" i="1"/>
  <c r="I272" i="1" s="1"/>
  <c r="H273" i="1"/>
  <c r="H274" i="1"/>
  <c r="H275" i="1"/>
  <c r="H276" i="1"/>
  <c r="H277" i="1"/>
  <c r="I277" i="1" s="1"/>
  <c r="H278" i="1"/>
  <c r="I278" i="1" s="1"/>
  <c r="H279" i="1"/>
  <c r="H280" i="1"/>
  <c r="H281" i="1"/>
  <c r="H282" i="1"/>
  <c r="H283" i="1"/>
  <c r="H284" i="1"/>
  <c r="I284" i="1" s="1"/>
  <c r="H285" i="1"/>
  <c r="H286" i="1"/>
  <c r="H287" i="1"/>
  <c r="H288" i="1"/>
  <c r="H289" i="1"/>
  <c r="H290" i="1"/>
  <c r="I290" i="1" s="1"/>
  <c r="H291" i="1"/>
  <c r="H292" i="1"/>
  <c r="H293" i="1"/>
  <c r="H294" i="1"/>
  <c r="H295" i="1"/>
  <c r="H296" i="1"/>
  <c r="H297" i="1"/>
  <c r="H298" i="1"/>
  <c r="H299" i="1"/>
  <c r="H300" i="1"/>
  <c r="H301" i="1"/>
  <c r="H302" i="1"/>
  <c r="I302" i="1" s="1"/>
  <c r="H303" i="1"/>
  <c r="H304" i="1"/>
  <c r="H305" i="1"/>
  <c r="H306" i="1"/>
  <c r="I306" i="1" s="1"/>
  <c r="H307" i="1"/>
  <c r="I307" i="1" s="1"/>
  <c r="H308" i="1"/>
  <c r="I308" i="1" s="1"/>
  <c r="H309" i="1"/>
  <c r="H310" i="1"/>
  <c r="I310" i="1" s="1"/>
  <c r="H311" i="1"/>
  <c r="I311" i="1" s="1"/>
  <c r="H312" i="1"/>
  <c r="I312" i="1" s="1"/>
  <c r="H313" i="1"/>
  <c r="I313" i="1" s="1"/>
  <c r="H314" i="1"/>
  <c r="I314" i="1" s="1"/>
  <c r="H315" i="1"/>
  <c r="H316" i="1"/>
  <c r="H317" i="1"/>
  <c r="H318" i="1"/>
  <c r="I318" i="1" s="1"/>
  <c r="H319" i="1"/>
  <c r="I319" i="1" s="1"/>
  <c r="H320" i="1"/>
  <c r="I320" i="1" s="1"/>
  <c r="H321" i="1"/>
  <c r="H322" i="1"/>
  <c r="H323" i="1"/>
  <c r="I323" i="1" s="1"/>
  <c r="H324" i="1"/>
  <c r="I324" i="1" s="1"/>
  <c r="H325" i="1"/>
  <c r="I325" i="1" s="1"/>
  <c r="H326" i="1"/>
  <c r="I326" i="1" s="1"/>
  <c r="H327" i="1"/>
  <c r="H328" i="1"/>
  <c r="H329" i="1"/>
  <c r="H330" i="1"/>
  <c r="I330" i="1" s="1"/>
  <c r="H331" i="1"/>
  <c r="I331" i="1" s="1"/>
  <c r="H332" i="1"/>
  <c r="I332" i="1" s="1"/>
  <c r="H333" i="1"/>
  <c r="H334" i="1"/>
  <c r="H335" i="1"/>
  <c r="H336" i="1"/>
  <c r="I336" i="1" s="1"/>
  <c r="H337" i="1"/>
  <c r="I337" i="1" s="1"/>
  <c r="H338" i="1"/>
  <c r="I338" i="1" s="1"/>
  <c r="H339" i="1"/>
  <c r="H340" i="1"/>
  <c r="H341" i="1"/>
  <c r="H342" i="1"/>
  <c r="H343" i="1"/>
  <c r="I343" i="1" s="1"/>
  <c r="H344" i="1"/>
  <c r="I344" i="1" s="1"/>
  <c r="H345" i="1"/>
  <c r="H346" i="1"/>
  <c r="I346" i="1" s="1"/>
  <c r="H347" i="1"/>
  <c r="I347" i="1" s="1"/>
  <c r="H348" i="1"/>
  <c r="I348" i="1" s="1"/>
  <c r="H349" i="1"/>
  <c r="I349" i="1" s="1"/>
  <c r="H350" i="1"/>
  <c r="I350" i="1" s="1"/>
  <c r="H351" i="1"/>
  <c r="H352" i="1"/>
  <c r="H353" i="1"/>
  <c r="H354" i="1"/>
  <c r="H355" i="1"/>
  <c r="H356" i="1"/>
  <c r="I356" i="1" s="1"/>
  <c r="H357" i="1"/>
  <c r="H358" i="1"/>
  <c r="I358" i="1" s="1"/>
  <c r="H359" i="1"/>
  <c r="I359" i="1" s="1"/>
  <c r="H360" i="1"/>
  <c r="I360" i="1" s="1"/>
  <c r="H361" i="1"/>
  <c r="I361" i="1" s="1"/>
  <c r="H362" i="1"/>
  <c r="I362" i="1" s="1"/>
  <c r="H363" i="1"/>
  <c r="H364" i="1"/>
  <c r="H365" i="1"/>
  <c r="H366" i="1"/>
  <c r="H367" i="1"/>
  <c r="H368" i="1"/>
  <c r="H369" i="1"/>
  <c r="H370" i="1"/>
  <c r="I370" i="1" s="1"/>
  <c r="H371" i="1"/>
  <c r="I371" i="1" s="1"/>
  <c r="H372" i="1"/>
  <c r="I372" i="1" s="1"/>
  <c r="H373" i="1"/>
  <c r="I373" i="1" s="1"/>
  <c r="H374" i="1"/>
  <c r="I374" i="1" s="1"/>
  <c r="H375" i="1"/>
  <c r="H376" i="1"/>
  <c r="H377" i="1"/>
  <c r="H378" i="1"/>
  <c r="H379" i="1"/>
  <c r="H380" i="1"/>
  <c r="H381" i="1"/>
  <c r="H382" i="1"/>
  <c r="I382" i="1" s="1"/>
  <c r="H383" i="1"/>
  <c r="I383" i="1" s="1"/>
  <c r="H384" i="1"/>
  <c r="I384" i="1" s="1"/>
  <c r="H385" i="1"/>
  <c r="I385" i="1" s="1"/>
  <c r="H386" i="1"/>
  <c r="I386" i="1" s="1"/>
  <c r="H387" i="1"/>
  <c r="H388" i="1"/>
  <c r="H389" i="1"/>
  <c r="H390" i="1"/>
  <c r="H391" i="1"/>
  <c r="H392" i="1"/>
  <c r="H393" i="1"/>
  <c r="H394" i="1"/>
  <c r="H395" i="1"/>
  <c r="I395" i="1" s="1"/>
  <c r="H396" i="1"/>
  <c r="I396" i="1" s="1"/>
  <c r="H397" i="1"/>
  <c r="I397" i="1" s="1"/>
  <c r="H398" i="1"/>
  <c r="I398" i="1" s="1"/>
  <c r="H399" i="1"/>
  <c r="H400" i="1"/>
  <c r="H401" i="1"/>
  <c r="H402" i="1"/>
  <c r="I402" i="1" s="1"/>
  <c r="H403" i="1"/>
  <c r="I403" i="1" s="1"/>
  <c r="H404" i="1"/>
  <c r="H405" i="1"/>
  <c r="H406" i="1"/>
  <c r="H407" i="1"/>
  <c r="H408" i="1"/>
  <c r="I408" i="1" s="1"/>
  <c r="H409" i="1"/>
  <c r="I409" i="1" s="1"/>
  <c r="H410" i="1"/>
  <c r="I410" i="1" s="1"/>
  <c r="H411" i="1"/>
  <c r="H412" i="1"/>
  <c r="H413" i="1"/>
  <c r="H414" i="1"/>
  <c r="H415" i="1"/>
  <c r="I415" i="1" s="1"/>
  <c r="H416" i="1"/>
  <c r="I416" i="1" s="1"/>
  <c r="H417" i="1"/>
  <c r="H418" i="1"/>
  <c r="H419" i="1"/>
  <c r="H420" i="1"/>
  <c r="H421" i="1"/>
  <c r="I421" i="1" s="1"/>
  <c r="H422" i="1"/>
  <c r="I422" i="1" s="1"/>
  <c r="H423" i="1"/>
  <c r="H424" i="1"/>
  <c r="H425" i="1"/>
  <c r="H426" i="1"/>
  <c r="H427" i="1"/>
  <c r="H428" i="1"/>
  <c r="I428" i="1" s="1"/>
  <c r="H429" i="1"/>
  <c r="H430" i="1"/>
  <c r="H431" i="1"/>
  <c r="H432" i="1"/>
  <c r="H433" i="1"/>
  <c r="H434" i="1"/>
  <c r="I434" i="1" s="1"/>
  <c r="H435" i="1"/>
  <c r="H436" i="1"/>
  <c r="H437" i="1"/>
  <c r="H438" i="1"/>
  <c r="H439" i="1"/>
  <c r="H440" i="1"/>
  <c r="H441" i="1"/>
  <c r="H442" i="1"/>
  <c r="H443" i="1"/>
  <c r="H444" i="1"/>
  <c r="H445" i="1"/>
  <c r="H446" i="1"/>
  <c r="I446" i="1" s="1"/>
  <c r="H447" i="1"/>
  <c r="H448" i="1"/>
  <c r="H449" i="1"/>
  <c r="H450" i="1"/>
  <c r="I450" i="1" s="1"/>
  <c r="H451" i="1"/>
  <c r="I451" i="1" s="1"/>
  <c r="H452" i="1"/>
  <c r="I452" i="1" s="1"/>
  <c r="H453" i="1"/>
  <c r="H454" i="1"/>
  <c r="I454" i="1" s="1"/>
  <c r="H455" i="1"/>
  <c r="I455" i="1" s="1"/>
  <c r="H456" i="1"/>
  <c r="I456" i="1" s="1"/>
  <c r="H457" i="1"/>
  <c r="I457" i="1" s="1"/>
  <c r="H458" i="1"/>
  <c r="I458" i="1" s="1"/>
  <c r="H459" i="1"/>
  <c r="H460" i="1"/>
  <c r="H461" i="1"/>
  <c r="H462" i="1"/>
  <c r="I462" i="1" s="1"/>
  <c r="H463" i="1"/>
  <c r="I463" i="1" s="1"/>
  <c r="H464" i="1"/>
  <c r="I464" i="1" s="1"/>
  <c r="H465" i="1"/>
  <c r="H466" i="1"/>
  <c r="H467" i="1"/>
  <c r="I467" i="1" s="1"/>
  <c r="H468" i="1"/>
  <c r="I468" i="1" s="1"/>
  <c r="H469" i="1"/>
  <c r="I469" i="1" s="1"/>
  <c r="H470" i="1"/>
  <c r="I470" i="1" s="1"/>
  <c r="H471" i="1"/>
  <c r="H472" i="1"/>
  <c r="H473" i="1"/>
  <c r="H474" i="1"/>
  <c r="I474" i="1" s="1"/>
  <c r="H475" i="1"/>
  <c r="I475" i="1" s="1"/>
  <c r="H476" i="1"/>
  <c r="I476" i="1" s="1"/>
  <c r="H477" i="1"/>
  <c r="H478" i="1"/>
  <c r="H479" i="1"/>
  <c r="H480" i="1"/>
  <c r="I480" i="1" s="1"/>
  <c r="H481" i="1"/>
  <c r="I481" i="1" s="1"/>
  <c r="H482" i="1"/>
  <c r="I482" i="1" s="1"/>
  <c r="H483" i="1"/>
  <c r="H484" i="1"/>
  <c r="H485" i="1"/>
  <c r="H486" i="1"/>
  <c r="H487" i="1"/>
  <c r="I487" i="1" s="1"/>
  <c r="H488" i="1"/>
  <c r="I488" i="1" s="1"/>
  <c r="H489" i="1"/>
  <c r="H490" i="1"/>
  <c r="I490" i="1" s="1"/>
  <c r="H491" i="1"/>
  <c r="I491" i="1" s="1"/>
  <c r="H492" i="1"/>
  <c r="I492" i="1" s="1"/>
  <c r="H493" i="1"/>
  <c r="I493" i="1" s="1"/>
  <c r="H494" i="1"/>
  <c r="I494" i="1" s="1"/>
  <c r="H495" i="1"/>
  <c r="H496" i="1"/>
  <c r="H497" i="1"/>
  <c r="H498" i="1"/>
  <c r="H499" i="1"/>
  <c r="H500" i="1"/>
  <c r="I500" i="1" s="1"/>
  <c r="H501" i="1"/>
  <c r="H502" i="1"/>
  <c r="I502" i="1" s="1"/>
  <c r="H503" i="1"/>
  <c r="I503" i="1" s="1"/>
  <c r="H504" i="1"/>
  <c r="I504" i="1" s="1"/>
  <c r="H505" i="1"/>
  <c r="I505" i="1" s="1"/>
  <c r="H506" i="1"/>
  <c r="I506" i="1" s="1"/>
  <c r="H507" i="1"/>
  <c r="H508" i="1"/>
  <c r="H509" i="1"/>
  <c r="H510" i="1"/>
  <c r="H511" i="1"/>
  <c r="H512" i="1"/>
  <c r="H513" i="1"/>
  <c r="H514" i="1"/>
  <c r="I514" i="1" s="1"/>
  <c r="H515" i="1"/>
  <c r="I515" i="1" s="1"/>
  <c r="H516" i="1"/>
  <c r="I516" i="1" s="1"/>
  <c r="H517" i="1"/>
  <c r="I517" i="1" s="1"/>
  <c r="H518" i="1"/>
  <c r="I518" i="1" s="1"/>
  <c r="H519" i="1"/>
  <c r="H520" i="1"/>
  <c r="H521" i="1"/>
  <c r="H522" i="1"/>
  <c r="H523" i="1"/>
  <c r="H524" i="1"/>
  <c r="H525" i="1"/>
  <c r="H526" i="1"/>
  <c r="I526" i="1" s="1"/>
  <c r="H527" i="1"/>
  <c r="I527" i="1" s="1"/>
  <c r="H528" i="1"/>
  <c r="I528" i="1" s="1"/>
  <c r="H529" i="1"/>
  <c r="I529" i="1" s="1"/>
  <c r="H530" i="1"/>
  <c r="I530" i="1" s="1"/>
  <c r="H531" i="1"/>
  <c r="H532" i="1"/>
  <c r="H533" i="1"/>
  <c r="H534" i="1"/>
  <c r="H535" i="1"/>
  <c r="H536" i="1"/>
  <c r="H537" i="1"/>
  <c r="H538" i="1"/>
  <c r="H539" i="1"/>
  <c r="I539" i="1" s="1"/>
  <c r="H540" i="1"/>
  <c r="I540" i="1" s="1"/>
  <c r="H541" i="1"/>
  <c r="I541" i="1" s="1"/>
  <c r="H542" i="1"/>
  <c r="I542" i="1" s="1"/>
  <c r="H543" i="1"/>
  <c r="H544" i="1"/>
  <c r="H545" i="1"/>
  <c r="H546" i="1"/>
  <c r="I546" i="1" s="1"/>
  <c r="H547" i="1"/>
  <c r="I547" i="1" s="1"/>
  <c r="H548" i="1"/>
  <c r="H549" i="1"/>
  <c r="H550" i="1"/>
  <c r="H551" i="1"/>
  <c r="H552" i="1"/>
  <c r="I552" i="1" s="1"/>
  <c r="H553" i="1"/>
  <c r="I553" i="1" s="1"/>
  <c r="H554" i="1"/>
  <c r="I554" i="1" s="1"/>
  <c r="H555" i="1"/>
  <c r="H556" i="1"/>
  <c r="H557" i="1"/>
  <c r="H558" i="1"/>
  <c r="H559" i="1"/>
  <c r="I559" i="1" s="1"/>
  <c r="H560" i="1"/>
  <c r="I560" i="1" s="1"/>
  <c r="H561" i="1"/>
  <c r="H562" i="1"/>
  <c r="H563" i="1"/>
  <c r="H564" i="1"/>
  <c r="H565" i="1"/>
  <c r="I565" i="1" s="1"/>
  <c r="H566" i="1"/>
  <c r="I566" i="1" s="1"/>
  <c r="H567" i="1"/>
  <c r="H568" i="1"/>
  <c r="H569" i="1"/>
  <c r="H570" i="1"/>
  <c r="H571" i="1"/>
  <c r="H572" i="1"/>
  <c r="I572" i="1" s="1"/>
  <c r="H573" i="1"/>
  <c r="H574" i="1"/>
  <c r="H575" i="1"/>
  <c r="H576" i="1"/>
  <c r="H577" i="1"/>
  <c r="H578" i="1"/>
  <c r="I578" i="1" s="1"/>
  <c r="H579" i="1"/>
  <c r="H580" i="1"/>
  <c r="H581" i="1"/>
  <c r="H582" i="1"/>
  <c r="H583" i="1"/>
  <c r="H584" i="1"/>
  <c r="H585" i="1"/>
  <c r="H586" i="1"/>
  <c r="H587" i="1"/>
  <c r="H588" i="1"/>
  <c r="H589" i="1"/>
  <c r="H590" i="1"/>
  <c r="I590" i="1" s="1"/>
  <c r="H591" i="1"/>
  <c r="H592" i="1"/>
  <c r="H593" i="1"/>
  <c r="H594" i="1"/>
  <c r="I594" i="1" s="1"/>
  <c r="H595" i="1"/>
  <c r="I595" i="1" s="1"/>
  <c r="H596" i="1"/>
  <c r="I596" i="1" s="1"/>
  <c r="H597" i="1"/>
  <c r="H598" i="1"/>
  <c r="I598" i="1" s="1"/>
  <c r="H599" i="1"/>
  <c r="I599" i="1" s="1"/>
  <c r="H600" i="1"/>
  <c r="I600" i="1" s="1"/>
  <c r="H601" i="1"/>
  <c r="H602" i="1"/>
  <c r="I602" i="1" s="1"/>
  <c r="H603" i="1"/>
  <c r="H604" i="1"/>
  <c r="H605" i="1"/>
  <c r="H606" i="1"/>
  <c r="I606" i="1" s="1"/>
  <c r="H607" i="1"/>
  <c r="I607" i="1" s="1"/>
  <c r="H608" i="1"/>
  <c r="I608" i="1" s="1"/>
  <c r="H609" i="1"/>
  <c r="H610" i="1"/>
  <c r="H611" i="1"/>
  <c r="I611" i="1" s="1"/>
  <c r="H612" i="1"/>
  <c r="I612" i="1" s="1"/>
  <c r="H613" i="1"/>
  <c r="I613" i="1" s="1"/>
  <c r="H614" i="1"/>
  <c r="I614" i="1" s="1"/>
  <c r="H615" i="1"/>
  <c r="H616" i="1"/>
  <c r="H617" i="1"/>
  <c r="H618" i="1"/>
  <c r="I618" i="1" s="1"/>
  <c r="H619" i="1"/>
  <c r="I619" i="1" s="1"/>
  <c r="H620" i="1"/>
  <c r="I620" i="1" s="1"/>
  <c r="H621" i="1"/>
  <c r="H622" i="1"/>
  <c r="H623" i="1"/>
  <c r="H624" i="1"/>
  <c r="I624" i="1" s="1"/>
  <c r="H625" i="1"/>
  <c r="I625" i="1" s="1"/>
  <c r="H626" i="1"/>
  <c r="I626" i="1" s="1"/>
  <c r="H627" i="1"/>
  <c r="H628" i="1"/>
  <c r="H629" i="1"/>
  <c r="H630" i="1"/>
  <c r="H631" i="1"/>
  <c r="I631" i="1" s="1"/>
  <c r="H632" i="1"/>
  <c r="I632" i="1" s="1"/>
  <c r="H633" i="1"/>
  <c r="H634" i="1"/>
  <c r="I634" i="1" s="1"/>
  <c r="H635" i="1"/>
  <c r="I635" i="1" s="1"/>
  <c r="H636" i="1"/>
  <c r="I636" i="1" s="1"/>
  <c r="H637" i="1"/>
  <c r="I637" i="1" s="1"/>
  <c r="H638" i="1"/>
  <c r="I638" i="1" s="1"/>
  <c r="H639" i="1"/>
  <c r="H640" i="1"/>
  <c r="H641" i="1"/>
  <c r="H642" i="1"/>
  <c r="H643" i="1"/>
  <c r="H644" i="1"/>
  <c r="I644" i="1" s="1"/>
  <c r="H645" i="1"/>
  <c r="H646" i="1"/>
  <c r="I646" i="1" s="1"/>
  <c r="H647" i="1"/>
  <c r="I647" i="1" s="1"/>
  <c r="H648" i="1"/>
  <c r="I648" i="1" s="1"/>
  <c r="H649" i="1"/>
  <c r="I649" i="1" s="1"/>
  <c r="H650" i="1"/>
  <c r="I650" i="1" s="1"/>
  <c r="H651" i="1"/>
  <c r="H652" i="1"/>
  <c r="H653" i="1"/>
  <c r="H654" i="1"/>
  <c r="H655" i="1"/>
  <c r="H656" i="1"/>
  <c r="H657" i="1"/>
  <c r="H658" i="1"/>
  <c r="I658" i="1" s="1"/>
  <c r="H659" i="1"/>
  <c r="I659" i="1" s="1"/>
  <c r="H660" i="1"/>
  <c r="I660" i="1" s="1"/>
  <c r="H661" i="1"/>
  <c r="I661" i="1" s="1"/>
  <c r="H662" i="1"/>
  <c r="I662" i="1" s="1"/>
  <c r="H663" i="1"/>
  <c r="H664" i="1"/>
  <c r="H665" i="1"/>
  <c r="H666" i="1"/>
  <c r="H667" i="1"/>
  <c r="H668" i="1"/>
  <c r="H669" i="1"/>
  <c r="H670" i="1"/>
  <c r="I670" i="1" s="1"/>
  <c r="H671" i="1"/>
  <c r="I671" i="1" s="1"/>
  <c r="H672" i="1"/>
  <c r="I672" i="1" s="1"/>
  <c r="H673" i="1"/>
  <c r="I673" i="1" s="1"/>
  <c r="H674" i="1"/>
  <c r="I674" i="1" s="1"/>
  <c r="H2" i="1"/>
  <c r="I2" i="1" s="1"/>
  <c r="I3" i="1"/>
  <c r="I4" i="1"/>
  <c r="I5" i="1"/>
  <c r="I6" i="1"/>
  <c r="I9" i="1"/>
  <c r="I10" i="1"/>
  <c r="I13" i="1"/>
  <c r="I15" i="1"/>
  <c r="I16" i="1"/>
  <c r="I17" i="1"/>
  <c r="I21" i="1"/>
  <c r="I27" i="1"/>
  <c r="I28" i="1"/>
  <c r="I29" i="1"/>
  <c r="I33" i="1"/>
  <c r="I34" i="1"/>
  <c r="I39" i="1"/>
  <c r="I40" i="1"/>
  <c r="I41" i="1"/>
  <c r="I45" i="1"/>
  <c r="I46" i="1"/>
  <c r="I47" i="1"/>
  <c r="I51" i="1"/>
  <c r="I52" i="1"/>
  <c r="I53" i="1"/>
  <c r="I54" i="1"/>
  <c r="I57" i="1"/>
  <c r="I63" i="1"/>
  <c r="I64" i="1"/>
  <c r="I65" i="1"/>
  <c r="I66" i="1"/>
  <c r="I67" i="1"/>
  <c r="I69" i="1"/>
  <c r="I75" i="1"/>
  <c r="I76" i="1"/>
  <c r="I77" i="1"/>
  <c r="I78" i="1"/>
  <c r="I79" i="1"/>
  <c r="I80" i="1"/>
  <c r="I81" i="1"/>
  <c r="I87" i="1"/>
  <c r="I88" i="1"/>
  <c r="I89" i="1"/>
  <c r="I90" i="1"/>
  <c r="I91" i="1"/>
  <c r="I92" i="1"/>
  <c r="I93" i="1"/>
  <c r="I99" i="1"/>
  <c r="I100" i="1"/>
  <c r="I101" i="1"/>
  <c r="I102" i="1"/>
  <c r="I103" i="1"/>
  <c r="I104" i="1"/>
  <c r="I105" i="1"/>
  <c r="I106" i="1"/>
  <c r="I111" i="1"/>
  <c r="I112" i="1"/>
  <c r="I113" i="1"/>
  <c r="I116" i="1"/>
  <c r="I117" i="1"/>
  <c r="I118" i="1"/>
  <c r="I119" i="1"/>
  <c r="I123" i="1"/>
  <c r="I124" i="1"/>
  <c r="I125" i="1"/>
  <c r="I126" i="1"/>
  <c r="I129" i="1"/>
  <c r="I130" i="1"/>
  <c r="I131" i="1"/>
  <c r="I132" i="1"/>
  <c r="I135" i="1"/>
  <c r="I136" i="1"/>
  <c r="I137" i="1"/>
  <c r="I138" i="1"/>
  <c r="I139" i="1"/>
  <c r="I141" i="1"/>
  <c r="I142" i="1"/>
  <c r="I143" i="1"/>
  <c r="I144" i="1"/>
  <c r="I145" i="1"/>
  <c r="I147" i="1"/>
  <c r="I148" i="1"/>
  <c r="I149" i="1"/>
  <c r="I150" i="1"/>
  <c r="I151" i="1"/>
  <c r="I152" i="1"/>
  <c r="I153" i="1"/>
  <c r="I154" i="1"/>
  <c r="I155" i="1"/>
  <c r="I156" i="1"/>
  <c r="I157" i="1"/>
  <c r="I159" i="1"/>
  <c r="I160" i="1"/>
  <c r="I161" i="1"/>
  <c r="I165" i="1"/>
  <c r="I171" i="1"/>
  <c r="I172" i="1"/>
  <c r="I173" i="1"/>
  <c r="I177" i="1"/>
  <c r="I178" i="1"/>
  <c r="I183" i="1"/>
  <c r="I184" i="1"/>
  <c r="I185" i="1"/>
  <c r="I189" i="1"/>
  <c r="I190" i="1"/>
  <c r="I191" i="1"/>
  <c r="I195" i="1"/>
  <c r="I196" i="1"/>
  <c r="I197" i="1"/>
  <c r="I198" i="1"/>
  <c r="I201" i="1"/>
  <c r="I207" i="1"/>
  <c r="I208" i="1"/>
  <c r="I209" i="1"/>
  <c r="I210" i="1"/>
  <c r="I211" i="1"/>
  <c r="I213" i="1"/>
  <c r="I219" i="1"/>
  <c r="I220" i="1"/>
  <c r="I221" i="1"/>
  <c r="I222" i="1"/>
  <c r="I223" i="1"/>
  <c r="I224" i="1"/>
  <c r="I225" i="1"/>
  <c r="I231" i="1"/>
  <c r="I232" i="1"/>
  <c r="I233" i="1"/>
  <c r="I234" i="1"/>
  <c r="I236" i="1"/>
  <c r="I237" i="1"/>
  <c r="I243" i="1"/>
  <c r="I244" i="1"/>
  <c r="I245" i="1"/>
  <c r="I246" i="1"/>
  <c r="I248" i="1"/>
  <c r="I249" i="1"/>
  <c r="I250" i="1"/>
  <c r="I255" i="1"/>
  <c r="I256" i="1"/>
  <c r="I257" i="1"/>
  <c r="I260" i="1"/>
  <c r="I261" i="1"/>
  <c r="I262" i="1"/>
  <c r="I263" i="1"/>
  <c r="I267" i="1"/>
  <c r="I268" i="1"/>
  <c r="I269" i="1"/>
  <c r="I270" i="1"/>
  <c r="I273" i="1"/>
  <c r="I274" i="1"/>
  <c r="I275" i="1"/>
  <c r="I276" i="1"/>
  <c r="I279" i="1"/>
  <c r="I280" i="1"/>
  <c r="I281" i="1"/>
  <c r="I282" i="1"/>
  <c r="I283" i="1"/>
  <c r="I285" i="1"/>
  <c r="I286" i="1"/>
  <c r="I287" i="1"/>
  <c r="I288" i="1"/>
  <c r="I289" i="1"/>
  <c r="I291" i="1"/>
  <c r="I292" i="1"/>
  <c r="I293" i="1"/>
  <c r="I294" i="1"/>
  <c r="I295" i="1"/>
  <c r="I296" i="1"/>
  <c r="I297" i="1"/>
  <c r="I298" i="1"/>
  <c r="I299" i="1"/>
  <c r="I300" i="1"/>
  <c r="I301" i="1"/>
  <c r="I303" i="1"/>
  <c r="I304" i="1"/>
  <c r="I305" i="1"/>
  <c r="I309" i="1"/>
  <c r="I315" i="1"/>
  <c r="I316" i="1"/>
  <c r="I317" i="1"/>
  <c r="I321" i="1"/>
  <c r="I322" i="1"/>
  <c r="I327" i="1"/>
  <c r="I328" i="1"/>
  <c r="I329" i="1"/>
  <c r="I333" i="1"/>
  <c r="I334" i="1"/>
  <c r="I335" i="1"/>
  <c r="I339" i="1"/>
  <c r="I340" i="1"/>
  <c r="I341" i="1"/>
  <c r="I342" i="1"/>
  <c r="I345" i="1"/>
  <c r="I351" i="1"/>
  <c r="I352" i="1"/>
  <c r="I353" i="1"/>
  <c r="I354" i="1"/>
  <c r="I355" i="1"/>
  <c r="I357" i="1"/>
  <c r="I363" i="1"/>
  <c r="I364" i="1"/>
  <c r="I365" i="1"/>
  <c r="I366" i="1"/>
  <c r="I367" i="1"/>
  <c r="I368" i="1"/>
  <c r="I369" i="1"/>
  <c r="I375" i="1"/>
  <c r="I376" i="1"/>
  <c r="I377" i="1"/>
  <c r="I378" i="1"/>
  <c r="I379" i="1"/>
  <c r="I380" i="1"/>
  <c r="I381" i="1"/>
  <c r="I387" i="1"/>
  <c r="I388" i="1"/>
  <c r="I389" i="1"/>
  <c r="I390" i="1"/>
  <c r="I391" i="1"/>
  <c r="I392" i="1"/>
  <c r="I393" i="1"/>
  <c r="I394" i="1"/>
  <c r="I399" i="1"/>
  <c r="I400" i="1"/>
  <c r="I401" i="1"/>
  <c r="I404" i="1"/>
  <c r="I405" i="1"/>
  <c r="I406" i="1"/>
  <c r="I407" i="1"/>
  <c r="I411" i="1"/>
  <c r="I412" i="1"/>
  <c r="I413" i="1"/>
  <c r="I414" i="1"/>
  <c r="I417" i="1"/>
  <c r="I418" i="1"/>
  <c r="I419" i="1"/>
  <c r="I420" i="1"/>
  <c r="I423" i="1"/>
  <c r="I424" i="1"/>
  <c r="I425" i="1"/>
  <c r="I426" i="1"/>
  <c r="I427" i="1"/>
  <c r="I429" i="1"/>
  <c r="I430" i="1"/>
  <c r="I431" i="1"/>
  <c r="I432" i="1"/>
  <c r="I433" i="1"/>
  <c r="I435" i="1"/>
  <c r="I436" i="1"/>
  <c r="I437" i="1"/>
  <c r="I438" i="1"/>
  <c r="I439" i="1"/>
  <c r="I440" i="1"/>
  <c r="I441" i="1"/>
  <c r="I442" i="1"/>
  <c r="I443" i="1"/>
  <c r="I444" i="1"/>
  <c r="I445" i="1"/>
  <c r="I447" i="1"/>
  <c r="I448" i="1"/>
  <c r="I449" i="1"/>
  <c r="I453" i="1"/>
  <c r="I459" i="1"/>
  <c r="I460" i="1"/>
  <c r="I461" i="1"/>
  <c r="I465" i="1"/>
  <c r="I466" i="1"/>
  <c r="I471" i="1"/>
  <c r="I472" i="1"/>
  <c r="I473" i="1"/>
  <c r="I477" i="1"/>
  <c r="I478" i="1"/>
  <c r="I479" i="1"/>
  <c r="I483" i="1"/>
  <c r="I484" i="1"/>
  <c r="I485" i="1"/>
  <c r="I486" i="1"/>
  <c r="I489" i="1"/>
  <c r="I495" i="1"/>
  <c r="I496" i="1"/>
  <c r="I497" i="1"/>
  <c r="I498" i="1"/>
  <c r="I499" i="1"/>
  <c r="I501" i="1"/>
  <c r="I507" i="1"/>
  <c r="I508" i="1"/>
  <c r="I509" i="1"/>
  <c r="I510" i="1"/>
  <c r="I511" i="1"/>
  <c r="I512" i="1"/>
  <c r="I513" i="1"/>
  <c r="I519" i="1"/>
  <c r="I520" i="1"/>
  <c r="I521" i="1"/>
  <c r="I522" i="1"/>
  <c r="I523" i="1"/>
  <c r="I524" i="1"/>
  <c r="I525" i="1"/>
  <c r="I531" i="1"/>
  <c r="I532" i="1"/>
  <c r="I533" i="1"/>
  <c r="I534" i="1"/>
  <c r="I535" i="1"/>
  <c r="I536" i="1"/>
  <c r="I537" i="1"/>
  <c r="I538" i="1"/>
  <c r="I543" i="1"/>
  <c r="I544" i="1"/>
  <c r="I545" i="1"/>
  <c r="I548" i="1"/>
  <c r="I549" i="1"/>
  <c r="I550" i="1"/>
  <c r="I551" i="1"/>
  <c r="I555" i="1"/>
  <c r="I556" i="1"/>
  <c r="I557" i="1"/>
  <c r="I558" i="1"/>
  <c r="I561" i="1"/>
  <c r="I562" i="1"/>
  <c r="I563" i="1"/>
  <c r="I564" i="1"/>
  <c r="I567" i="1"/>
  <c r="I568" i="1"/>
  <c r="I569" i="1"/>
  <c r="I570" i="1"/>
  <c r="I571" i="1"/>
  <c r="I573" i="1"/>
  <c r="I574" i="1"/>
  <c r="I575" i="1"/>
  <c r="I576" i="1"/>
  <c r="I577" i="1"/>
  <c r="I579" i="1"/>
  <c r="I580" i="1"/>
  <c r="I581" i="1"/>
  <c r="I582" i="1"/>
  <c r="I583" i="1"/>
  <c r="I584" i="1"/>
  <c r="I585" i="1"/>
  <c r="I586" i="1"/>
  <c r="I587" i="1"/>
  <c r="I588" i="1"/>
  <c r="I589" i="1"/>
  <c r="I591" i="1"/>
  <c r="I592" i="1"/>
  <c r="I593" i="1"/>
  <c r="I597" i="1"/>
  <c r="I601" i="1"/>
  <c r="I603" i="1"/>
  <c r="I604" i="1"/>
  <c r="I605" i="1"/>
  <c r="I609" i="1"/>
  <c r="I610" i="1"/>
  <c r="I615" i="1"/>
  <c r="I616" i="1"/>
  <c r="I617" i="1"/>
  <c r="I621" i="1"/>
  <c r="I622" i="1"/>
  <c r="I623" i="1"/>
  <c r="I627" i="1"/>
  <c r="I628" i="1"/>
  <c r="I629" i="1"/>
  <c r="I630" i="1"/>
  <c r="I633" i="1"/>
  <c r="I639" i="1"/>
  <c r="I640" i="1"/>
  <c r="I641" i="1"/>
  <c r="I642" i="1"/>
  <c r="I643" i="1"/>
  <c r="I645" i="1"/>
  <c r="I651" i="1"/>
  <c r="I652" i="1"/>
  <c r="I653" i="1"/>
  <c r="I654" i="1"/>
  <c r="I655" i="1"/>
  <c r="I656" i="1"/>
  <c r="I657" i="1"/>
  <c r="I663" i="1"/>
  <c r="I664" i="1"/>
  <c r="I665" i="1"/>
  <c r="I666" i="1"/>
  <c r="I667" i="1"/>
  <c r="I668" i="1"/>
  <c r="I669" i="1"/>
  <c r="AS677" i="1"/>
  <c r="F398" i="1" l="1"/>
  <c r="F386"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468" i="1" s="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4" i="1" s="1"/>
  <c r="M386" i="1"/>
  <c r="M577" i="1" l="1"/>
  <c r="F395" i="1"/>
  <c r="F394" i="1"/>
  <c r="F450" i="1"/>
  <c r="F449" i="1"/>
  <c r="F451" i="1"/>
  <c r="F434" i="1"/>
  <c r="F414" i="1"/>
  <c r="F465" i="1"/>
  <c r="F415" i="1"/>
  <c r="F413" i="1"/>
  <c r="F453" i="1"/>
  <c r="F432" i="1"/>
  <c r="F410" i="1"/>
  <c r="F446" i="1"/>
  <c r="F396" i="1"/>
  <c r="F470" i="1"/>
  <c r="F387" i="1"/>
  <c r="F431" i="1"/>
  <c r="F393" i="1"/>
  <c r="F430" i="1"/>
  <c r="F467" i="1"/>
  <c r="F429" i="1"/>
  <c r="F466" i="1"/>
  <c r="F417" i="1"/>
  <c r="F480" i="1"/>
  <c r="F463" i="1"/>
  <c r="F444" i="1"/>
  <c r="F427" i="1"/>
  <c r="F408" i="1"/>
  <c r="F391" i="1"/>
  <c r="F479" i="1"/>
  <c r="F462" i="1"/>
  <c r="F443" i="1"/>
  <c r="F426" i="1"/>
  <c r="F407" i="1"/>
  <c r="F390" i="1"/>
  <c r="F478" i="1"/>
  <c r="F461" i="1"/>
  <c r="F442" i="1"/>
  <c r="F425" i="1"/>
  <c r="F406" i="1"/>
  <c r="F389" i="1"/>
  <c r="F477" i="1"/>
  <c r="F458" i="1"/>
  <c r="F441" i="1"/>
  <c r="F422" i="1"/>
  <c r="F405" i="1"/>
  <c r="F475" i="1"/>
  <c r="F438" i="1"/>
  <c r="F456" i="1"/>
  <c r="F439" i="1"/>
  <c r="F420" i="1"/>
  <c r="F403" i="1"/>
  <c r="F474" i="1"/>
  <c r="F455" i="1"/>
  <c r="F419" i="1"/>
  <c r="F402" i="1"/>
  <c r="F473" i="1"/>
  <c r="F454" i="1"/>
  <c r="F437" i="1"/>
  <c r="F418" i="1"/>
  <c r="F401" i="1"/>
  <c r="M548" i="1"/>
  <c r="M535" i="1"/>
  <c r="M487" i="1"/>
  <c r="M495" i="1"/>
  <c r="M529" i="1"/>
  <c r="M552" i="1"/>
  <c r="M492" i="1"/>
  <c r="M572" i="1"/>
  <c r="M512" i="1"/>
  <c r="M547" i="1"/>
  <c r="M567" i="1"/>
  <c r="M555" i="1"/>
  <c r="M543" i="1"/>
  <c r="M531" i="1"/>
  <c r="M519" i="1"/>
  <c r="M507" i="1"/>
  <c r="M483" i="1"/>
  <c r="M482" i="1"/>
  <c r="M566" i="1"/>
  <c r="M554" i="1"/>
  <c r="M542" i="1"/>
  <c r="M530" i="1"/>
  <c r="M518" i="1"/>
  <c r="M506" i="1"/>
  <c r="M494" i="1"/>
  <c r="F481" i="1"/>
  <c r="F469" i="1"/>
  <c r="F457" i="1"/>
  <c r="F445" i="1"/>
  <c r="F433" i="1"/>
  <c r="F421" i="1"/>
  <c r="F409" i="1"/>
  <c r="F397" i="1"/>
  <c r="M553" i="1"/>
  <c r="M517" i="1"/>
  <c r="M505" i="1"/>
  <c r="M576" i="1"/>
  <c r="M540" i="1"/>
  <c r="M516" i="1"/>
  <c r="M575" i="1"/>
  <c r="M563" i="1"/>
  <c r="M551" i="1"/>
  <c r="M539" i="1"/>
  <c r="M527" i="1"/>
  <c r="M515" i="1"/>
  <c r="M503" i="1"/>
  <c r="M491" i="1"/>
  <c r="M574" i="1"/>
  <c r="M562" i="1"/>
  <c r="M550" i="1"/>
  <c r="M538" i="1"/>
  <c r="M526" i="1"/>
  <c r="M514" i="1"/>
  <c r="M502" i="1"/>
  <c r="M490" i="1"/>
  <c r="M573" i="1"/>
  <c r="M561" i="1"/>
  <c r="M549" i="1"/>
  <c r="M537" i="1"/>
  <c r="M525" i="1"/>
  <c r="M513" i="1"/>
  <c r="M501" i="1"/>
  <c r="M489" i="1"/>
  <c r="F476" i="1"/>
  <c r="F464" i="1"/>
  <c r="F452" i="1"/>
  <c r="F440" i="1"/>
  <c r="F428" i="1"/>
  <c r="F416" i="1"/>
  <c r="F404" i="1"/>
  <c r="F392" i="1"/>
  <c r="M565" i="1"/>
  <c r="M493" i="1"/>
  <c r="M528" i="1"/>
  <c r="M536" i="1"/>
  <c r="M500" i="1"/>
  <c r="M571" i="1"/>
  <c r="M511" i="1"/>
  <c r="M570" i="1"/>
  <c r="M546" i="1"/>
  <c r="M522" i="1"/>
  <c r="M498" i="1"/>
  <c r="M569" i="1"/>
  <c r="M557" i="1"/>
  <c r="M545" i="1"/>
  <c r="M533" i="1"/>
  <c r="M521" i="1"/>
  <c r="M509" i="1"/>
  <c r="M497" i="1"/>
  <c r="M485" i="1"/>
  <c r="F472" i="1"/>
  <c r="F460" i="1"/>
  <c r="F448" i="1"/>
  <c r="F436" i="1"/>
  <c r="F424" i="1"/>
  <c r="F412" i="1"/>
  <c r="F400" i="1"/>
  <c r="F388" i="1"/>
  <c r="M541" i="1"/>
  <c r="M564" i="1"/>
  <c r="M504" i="1"/>
  <c r="M560" i="1"/>
  <c r="M524" i="1"/>
  <c r="M488" i="1"/>
  <c r="M559" i="1"/>
  <c r="M523" i="1"/>
  <c r="M499" i="1"/>
  <c r="M558" i="1"/>
  <c r="M534" i="1"/>
  <c r="M510" i="1"/>
  <c r="M486" i="1"/>
  <c r="M568" i="1"/>
  <c r="M556" i="1"/>
  <c r="M544" i="1"/>
  <c r="M532" i="1"/>
  <c r="M520" i="1"/>
  <c r="M508" i="1"/>
  <c r="M496" i="1"/>
  <c r="F471" i="1"/>
  <c r="F459" i="1"/>
  <c r="F447" i="1"/>
  <c r="F435" i="1"/>
  <c r="F423" i="1"/>
  <c r="F411" i="1"/>
  <c r="F399" i="1"/>
  <c r="F290" i="1" l="1"/>
</calcChain>
</file>

<file path=xl/sharedStrings.xml><?xml version="1.0" encoding="utf-8"?>
<sst xmlns="http://schemas.openxmlformats.org/spreadsheetml/2006/main" count="13" uniqueCount="13">
  <si>
    <t>T_0 [C]*</t>
  </si>
  <si>
    <t>Electricity price [€/MWh]*</t>
  </si>
  <si>
    <t>Gas price [€/MWh]*</t>
  </si>
  <si>
    <t>Thermal demand [MW]*</t>
  </si>
  <si>
    <t>T_DHN [C]*</t>
  </si>
  <si>
    <t>T_sink_out [C]*</t>
  </si>
  <si>
    <t>T_0 [C]</t>
  </si>
  <si>
    <t>Electricity price [€/MWh]</t>
  </si>
  <si>
    <t>Gas price [€/MWh]</t>
  </si>
  <si>
    <t>Thermal demand [MW]</t>
  </si>
  <si>
    <t>T_DHN [C]</t>
  </si>
  <si>
    <t>T_sink_out [C]</t>
  </si>
  <si>
    <t>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</si>
</sst>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164" fontId="1" fillId="0" borderId="1" xfId="0" applyNumberFormat="1" applyFont="1" applyBorder="1" applyAlignment="1">
      <alignment horizontal="center" vertical="top"/>
    </xf>
    <xf numFmtId="0" fontId="0" fillId="0" borderId="0" xfId="0" applyAlignment="1">
      <alignment horizontal="center" vertical="top"/>
    </xf>
    <xf numFmtId="164" fontId="1" fillId="0" borderId="2" xfId="0" applyNumberFormat="1" applyFont="1" applyBorder="1" applyAlignment="1">
      <alignment horizontal="center" vertical="top"/>
    </xf>
    <xf numFmtId="164" fontId="1" fillId="0" borderId="0" xfId="0" applyNumberFormat="1" applyFont="1" applyAlignment="1">
      <alignment horizontal="center" vertical="top"/>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419100</xdr:colOff>
      <xdr:row>4</xdr:row>
      <xdr:rowOff>85725</xdr:rowOff>
    </xdr:from>
    <xdr:to>
      <xdr:col>3</xdr:col>
      <xdr:colOff>47625</xdr:colOff>
      <xdr:row>20</xdr:row>
      <xdr:rowOff>133350</xdr:rowOff>
    </xdr:to>
    <xdr:sp macro="" textlink="">
      <xdr:nvSpPr>
        <xdr:cNvPr id="2" name="TextBox 1">
          <a:extLst>
            <a:ext uri="{FF2B5EF4-FFF2-40B4-BE49-F238E27FC236}">
              <a16:creationId xmlns:a16="http://schemas.microsoft.com/office/drawing/2014/main" id="{FCD32A38-6457-207E-1316-8064A078716B}"/>
            </a:ext>
          </a:extLst>
        </xdr:cNvPr>
        <xdr:cNvSpPr txBox="1"/>
      </xdr:nvSpPr>
      <xdr:spPr>
        <a:xfrm>
          <a:off x="419100" y="847725"/>
          <a:ext cx="5114925" cy="3095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i-FI" sz="1600"/>
            <a:t>The input data python file picks</a:t>
          </a:r>
          <a:r>
            <a:rPr lang="fi-FI" sz="1600" baseline="0"/>
            <a:t> the time series inpt data from this Excel file. Other Excel files can be used by changing the name of the file the python script picks. The  python file selects the colums from this Excel based on the names of the colums that are specified in the first row. This Excel file contains multiple datasets for the model. The first three are the winter, spring and summer periods used in the thesis. Colum headers with a * at the end are inactive, meaing the code will not pick them because the header is different than in the code. If all the datasets have the same correct header, the Python file picks values from the first dataset</a:t>
          </a:r>
          <a:r>
            <a:rPr lang="fi-FI" sz="1100" baseline="0"/>
            <a:t>.  </a:t>
          </a:r>
          <a:endParaRPr lang="fi-FI"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5AC7B-7358-456A-8CC6-13DF384E860E}">
  <sheetPr codeName="Sheet1"/>
  <dimension ref="D1:AS894"/>
  <sheetViews>
    <sheetView tabSelected="1" zoomScaleNormal="100" workbookViewId="0">
      <pane ySplit="1" topLeftCell="K2" activePane="bottomLeft" state="frozen"/>
      <selection pane="bottomLeft" activeCell="L894" sqref="L894"/>
    </sheetView>
  </sheetViews>
  <sheetFormatPr defaultRowHeight="15"/>
  <cols>
    <col min="1" max="1" width="31" style="5" customWidth="1"/>
    <col min="2" max="2" width="24.85546875" style="5" customWidth="1"/>
    <col min="3" max="3" width="26.42578125" style="5" customWidth="1"/>
    <col min="4" max="4" width="20.42578125" style="5" customWidth="1"/>
    <col min="5" max="5" width="25.85546875" style="5" customWidth="1"/>
    <col min="6" max="6" width="20.7109375" style="5" customWidth="1"/>
    <col min="7" max="7" width="25.28515625" style="5" customWidth="1"/>
    <col min="8" max="8" width="22.28515625" style="5" customWidth="1"/>
    <col min="9" max="9" width="30.42578125" style="5" customWidth="1"/>
    <col min="10" max="10" width="18.5703125" style="5" customWidth="1"/>
    <col min="11" max="11" width="23.7109375" style="5" customWidth="1"/>
    <col min="12" max="12" width="29.5703125" style="5" customWidth="1"/>
    <col min="13" max="13" width="23.140625" style="5" customWidth="1"/>
    <col min="14" max="14" width="28" style="5" customWidth="1"/>
    <col min="15" max="15" width="18.42578125" style="5" customWidth="1"/>
    <col min="16" max="16" width="17.85546875" style="5" customWidth="1"/>
    <col min="17" max="17" width="23.140625" style="5" customWidth="1"/>
    <col min="18" max="18" width="15.7109375" style="5" customWidth="1"/>
    <col min="19" max="19" width="25.42578125" style="5" customWidth="1"/>
    <col min="20" max="20" width="20.140625" style="5" customWidth="1"/>
    <col min="21" max="21" width="28" style="5" customWidth="1"/>
    <col min="22" max="22" width="15.140625" style="5" customWidth="1"/>
    <col min="23" max="23" width="17.28515625" style="5" customWidth="1"/>
    <col min="24" max="27" width="9.140625" style="5"/>
    <col min="28" max="28" width="32.5703125" style="5" customWidth="1"/>
    <col min="29" max="35" width="9.140625" style="5"/>
    <col min="36" max="36" width="19.140625" style="5" customWidth="1"/>
    <col min="37" max="37" width="17.5703125" style="5" customWidth="1"/>
    <col min="38" max="38" width="29.42578125" style="5" customWidth="1"/>
    <col min="39" max="39" width="24.7109375" style="5" customWidth="1"/>
    <col min="40" max="40" width="21" style="5" customWidth="1"/>
    <col min="41" max="41" width="23.140625" style="5" customWidth="1"/>
    <col min="42" max="42" width="20.85546875" style="5" customWidth="1"/>
    <col min="43" max="43" width="9.140625" style="5"/>
    <col min="44" max="44" width="23.28515625" style="5" customWidth="1"/>
    <col min="45" max="45" width="22" style="5" customWidth="1"/>
    <col min="46" max="46" width="22.85546875" style="5" customWidth="1"/>
    <col min="47" max="47" width="18" style="5" customWidth="1"/>
    <col min="48" max="48" width="22" style="5" customWidth="1"/>
    <col min="49" max="49" width="17.85546875" style="5" customWidth="1"/>
    <col min="50" max="50" width="13.5703125" style="5" customWidth="1"/>
    <col min="51" max="16384" width="9.140625" style="5"/>
  </cols>
  <sheetData>
    <row r="1" spans="4:44">
      <c r="D1" s="5" t="s">
        <v>0</v>
      </c>
      <c r="E1" s="5" t="s">
        <v>1</v>
      </c>
      <c r="F1" s="5" t="s">
        <v>2</v>
      </c>
      <c r="G1" s="5" t="s">
        <v>3</v>
      </c>
      <c r="H1" s="5" t="s">
        <v>4</v>
      </c>
      <c r="I1" s="5" t="s">
        <v>5</v>
      </c>
      <c r="K1" s="5" t="s">
        <v>6</v>
      </c>
      <c r="L1" s="5" t="s">
        <v>7</v>
      </c>
      <c r="M1" s="5" t="s">
        <v>8</v>
      </c>
      <c r="N1" s="5" t="s">
        <v>9</v>
      </c>
      <c r="O1" s="5" t="s">
        <v>10</v>
      </c>
      <c r="P1" s="5" t="s">
        <v>11</v>
      </c>
    </row>
    <row r="2" spans="4:44">
      <c r="D2" s="5">
        <v>-9.5</v>
      </c>
      <c r="E2" s="5">
        <v>111.61</v>
      </c>
      <c r="F2" s="5">
        <v>30.009</v>
      </c>
      <c r="G2" s="2">
        <v>3.37</v>
      </c>
      <c r="H2" s="5">
        <f>IF(D2&lt;0,0.0125*D2^2-0.475*D2+80,80)</f>
        <v>85.640625</v>
      </c>
      <c r="I2" s="5">
        <f>IF(H2&lt;90,H2,90)</f>
        <v>85.640625</v>
      </c>
      <c r="K2" s="5">
        <v>-1.1000000000000001</v>
      </c>
      <c r="L2" s="5">
        <v>44.79</v>
      </c>
      <c r="M2" s="5">
        <v>31.582000000000001</v>
      </c>
      <c r="N2" s="5">
        <v>2.2909999999999999</v>
      </c>
      <c r="O2" s="5">
        <f>IF(K2&lt;0,0.0125*K2^2-0.475*K2+80,780)</f>
        <v>80.537625000000006</v>
      </c>
      <c r="P2" s="5">
        <f>IF(O2&lt;90,O2,90)</f>
        <v>80.537625000000006</v>
      </c>
      <c r="R2" s="5">
        <v>13</v>
      </c>
      <c r="S2" s="5">
        <v>31</v>
      </c>
      <c r="T2" s="5">
        <v>34.915999999999997</v>
      </c>
      <c r="U2" s="5">
        <v>0.41699999999999998</v>
      </c>
      <c r="V2" s="5">
        <v>78</v>
      </c>
      <c r="W2" s="5">
        <v>78</v>
      </c>
      <c r="AA2" s="2"/>
      <c r="AJ2" s="4"/>
      <c r="AR2" s="4"/>
    </row>
    <row r="3" spans="4:44">
      <c r="D3" s="5">
        <v>-9.5749999999999993</v>
      </c>
      <c r="E3" s="5">
        <v>104.16499999999999</v>
      </c>
      <c r="F3" s="5">
        <v>30.009</v>
      </c>
      <c r="G3" s="2">
        <v>3.383</v>
      </c>
      <c r="H3" s="5">
        <f t="shared" ref="H3:H66" si="0">IF(D3&lt;0,0.0125*D3^2-0.475*D3+80,80)</f>
        <v>85.694132812500001</v>
      </c>
      <c r="I3" s="5">
        <f t="shared" ref="I3:I66" si="1">IF(H3&lt;90,H3,90)</f>
        <v>85.694132812500001</v>
      </c>
      <c r="K3" s="5">
        <v>-1.2</v>
      </c>
      <c r="L3" s="5">
        <v>51.394999999999996</v>
      </c>
      <c r="M3" s="5">
        <v>31.582000000000001</v>
      </c>
      <c r="N3" s="5">
        <v>2.2679999999999998</v>
      </c>
      <c r="O3" s="5">
        <f t="shared" ref="O3:O66" si="2">IF(K3&lt;0,0.0125*K3^2-0.475*K3+80,780)</f>
        <v>80.587999999999994</v>
      </c>
      <c r="P3" s="5">
        <f t="shared" ref="P3:P66" si="3">IF(O3&lt;90,O3,90)</f>
        <v>80.587999999999994</v>
      </c>
      <c r="R3" s="5">
        <v>12.6</v>
      </c>
      <c r="S3" s="5">
        <v>25.114999999999998</v>
      </c>
      <c r="T3" s="5">
        <v>34.915999999999997</v>
      </c>
      <c r="U3" s="2">
        <v>0.41739999999999999</v>
      </c>
      <c r="V3" s="5">
        <v>78</v>
      </c>
      <c r="W3" s="5">
        <v>78</v>
      </c>
      <c r="AA3" s="2"/>
      <c r="AJ3" s="4"/>
      <c r="AR3" s="4"/>
    </row>
    <row r="4" spans="4:44">
      <c r="D4" s="5">
        <v>-9.65</v>
      </c>
      <c r="E4" s="5">
        <v>96.72</v>
      </c>
      <c r="F4" s="5">
        <v>30.009</v>
      </c>
      <c r="G4" s="2">
        <v>3.3960000000000004</v>
      </c>
      <c r="H4" s="5">
        <f t="shared" si="0"/>
        <v>85.747781250000003</v>
      </c>
      <c r="I4" s="5">
        <f t="shared" si="1"/>
        <v>85.747781250000003</v>
      </c>
      <c r="K4" s="5">
        <v>-1.3</v>
      </c>
      <c r="L4" s="5">
        <v>58.000000000000007</v>
      </c>
      <c r="M4" s="5">
        <v>31.582000000000001</v>
      </c>
      <c r="N4" s="5">
        <v>2.2450000000000001</v>
      </c>
      <c r="O4" s="5">
        <f t="shared" si="2"/>
        <v>80.638625000000005</v>
      </c>
      <c r="P4" s="5">
        <f t="shared" si="3"/>
        <v>80.638625000000005</v>
      </c>
      <c r="R4" s="5">
        <v>12.2</v>
      </c>
      <c r="S4" s="5">
        <v>19.23</v>
      </c>
      <c r="T4" s="5">
        <v>34.915999999999997</v>
      </c>
      <c r="U4" s="2">
        <v>0.4178</v>
      </c>
      <c r="V4" s="5">
        <v>78</v>
      </c>
      <c r="W4" s="5">
        <v>78</v>
      </c>
      <c r="AA4" s="2"/>
      <c r="AJ4" s="4"/>
      <c r="AR4" s="4"/>
    </row>
    <row r="5" spans="4:44">
      <c r="D5" s="5">
        <v>-9.7250000000000014</v>
      </c>
      <c r="E5" s="5">
        <v>89.275000000000006</v>
      </c>
      <c r="F5" s="5">
        <v>30.009</v>
      </c>
      <c r="G5" s="2">
        <v>3.4090000000000003</v>
      </c>
      <c r="H5" s="5">
        <f t="shared" si="0"/>
        <v>85.801570312500004</v>
      </c>
      <c r="I5" s="5">
        <f t="shared" si="1"/>
        <v>85.801570312500004</v>
      </c>
      <c r="K5" s="5">
        <v>-1.4</v>
      </c>
      <c r="L5" s="5">
        <v>64.605000000000004</v>
      </c>
      <c r="M5" s="5">
        <v>31.582000000000001</v>
      </c>
      <c r="N5" s="5">
        <v>2.222</v>
      </c>
      <c r="O5" s="5">
        <f t="shared" si="2"/>
        <v>80.689499999999995</v>
      </c>
      <c r="P5" s="5">
        <f t="shared" si="3"/>
        <v>80.689499999999995</v>
      </c>
      <c r="R5" s="5">
        <v>11.8</v>
      </c>
      <c r="S5" s="5">
        <v>13.345000000000001</v>
      </c>
      <c r="T5" s="5">
        <v>34.915999999999997</v>
      </c>
      <c r="U5" s="2">
        <v>0.41820000000000002</v>
      </c>
      <c r="V5" s="5">
        <v>78</v>
      </c>
      <c r="W5" s="5">
        <v>78</v>
      </c>
      <c r="AA5" s="2"/>
      <c r="AJ5" s="4"/>
      <c r="AR5" s="4"/>
    </row>
    <row r="6" spans="4:44">
      <c r="D6" s="5">
        <v>-9.8000000000000007</v>
      </c>
      <c r="E6" s="5">
        <v>81.83</v>
      </c>
      <c r="F6" s="5">
        <v>30.009</v>
      </c>
      <c r="G6" s="2">
        <v>3.4220000000000002</v>
      </c>
      <c r="H6" s="5">
        <f t="shared" si="0"/>
        <v>85.855500000000006</v>
      </c>
      <c r="I6" s="5">
        <f t="shared" si="1"/>
        <v>85.855500000000006</v>
      </c>
      <c r="K6" s="5">
        <v>-1.5</v>
      </c>
      <c r="L6" s="5">
        <v>71.210000000000008</v>
      </c>
      <c r="M6" s="5">
        <v>31.582000000000001</v>
      </c>
      <c r="N6" s="5">
        <v>2.1989999999999998</v>
      </c>
      <c r="O6" s="5">
        <f t="shared" si="2"/>
        <v>80.740624999999994</v>
      </c>
      <c r="P6" s="5">
        <f t="shared" si="3"/>
        <v>80.740624999999994</v>
      </c>
      <c r="R6" s="5">
        <v>11.4</v>
      </c>
      <c r="S6" s="5">
        <v>7.46</v>
      </c>
      <c r="T6" s="5">
        <v>34.915999999999997</v>
      </c>
      <c r="U6" s="2">
        <v>0.41859999999999997</v>
      </c>
      <c r="V6" s="5">
        <v>78</v>
      </c>
      <c r="W6" s="5">
        <v>78</v>
      </c>
      <c r="AA6" s="2"/>
      <c r="AJ6" s="4"/>
      <c r="AR6" s="4"/>
    </row>
    <row r="7" spans="4:44">
      <c r="D7" s="5">
        <v>-9.8500000000000014</v>
      </c>
      <c r="E7" s="5">
        <v>81.302500000000009</v>
      </c>
      <c r="F7" s="5">
        <v>30.009</v>
      </c>
      <c r="G7" s="2">
        <v>3.42225</v>
      </c>
      <c r="H7" s="5">
        <f t="shared" si="0"/>
        <v>85.89153125</v>
      </c>
      <c r="I7" s="5">
        <f t="shared" si="1"/>
        <v>85.89153125</v>
      </c>
      <c r="K7" s="5">
        <v>-1.575</v>
      </c>
      <c r="L7" s="5">
        <v>70.407499999999999</v>
      </c>
      <c r="M7" s="5">
        <v>31.582000000000001</v>
      </c>
      <c r="N7" s="5">
        <v>2.2334999999999998</v>
      </c>
      <c r="O7" s="5">
        <f t="shared" si="2"/>
        <v>80.779132812499995</v>
      </c>
      <c r="P7" s="5">
        <f t="shared" si="3"/>
        <v>80.779132812499995</v>
      </c>
      <c r="R7" s="5">
        <v>11.125</v>
      </c>
      <c r="S7" s="5">
        <v>10.4025</v>
      </c>
      <c r="T7" s="5">
        <v>34.915999999999997</v>
      </c>
      <c r="U7" s="2">
        <v>0.418875</v>
      </c>
      <c r="V7" s="5">
        <v>78</v>
      </c>
      <c r="W7" s="5">
        <v>78</v>
      </c>
      <c r="AA7" s="2"/>
      <c r="AJ7" s="4"/>
      <c r="AR7" s="4"/>
    </row>
    <row r="8" spans="4:44">
      <c r="D8" s="5">
        <v>-9.9</v>
      </c>
      <c r="E8" s="5">
        <v>80.775000000000006</v>
      </c>
      <c r="F8" s="5">
        <v>30.009</v>
      </c>
      <c r="G8" s="2">
        <v>3.4224999999999999</v>
      </c>
      <c r="H8" s="5">
        <f t="shared" si="0"/>
        <v>85.927625000000006</v>
      </c>
      <c r="I8" s="5">
        <f t="shared" si="1"/>
        <v>85.927625000000006</v>
      </c>
      <c r="K8" s="5">
        <v>-1.65</v>
      </c>
      <c r="L8" s="5">
        <v>69.60499999999999</v>
      </c>
      <c r="M8" s="5">
        <v>31.582000000000001</v>
      </c>
      <c r="N8" s="5">
        <v>2.2679999999999998</v>
      </c>
      <c r="O8" s="5">
        <f t="shared" si="2"/>
        <v>80.817781249999996</v>
      </c>
      <c r="P8" s="5">
        <f t="shared" si="3"/>
        <v>80.817781249999996</v>
      </c>
      <c r="R8" s="5">
        <v>10.85</v>
      </c>
      <c r="S8" s="5">
        <v>13.345000000000001</v>
      </c>
      <c r="T8" s="5">
        <v>34.915999999999997</v>
      </c>
      <c r="U8" s="2">
        <v>0.41914999999999997</v>
      </c>
      <c r="V8" s="5">
        <v>78</v>
      </c>
      <c r="W8" s="5">
        <v>78</v>
      </c>
      <c r="AA8" s="2"/>
      <c r="AJ8" s="4"/>
      <c r="AR8" s="4"/>
    </row>
    <row r="9" spans="4:44">
      <c r="D9" s="5">
        <v>-9.9499999999999993</v>
      </c>
      <c r="E9" s="5">
        <v>80.247500000000002</v>
      </c>
      <c r="F9" s="5">
        <v>30.009</v>
      </c>
      <c r="G9" s="2">
        <v>3.4227500000000002</v>
      </c>
      <c r="H9" s="5">
        <f t="shared" si="0"/>
        <v>85.963781249999997</v>
      </c>
      <c r="I9" s="5">
        <f t="shared" si="1"/>
        <v>85.963781249999997</v>
      </c>
      <c r="K9" s="5">
        <v>-1.7250000000000001</v>
      </c>
      <c r="L9" s="5">
        <v>68.802500000000009</v>
      </c>
      <c r="M9" s="5">
        <v>31.582000000000001</v>
      </c>
      <c r="N9" s="5">
        <v>2.3024999999999998</v>
      </c>
      <c r="O9" s="5">
        <f t="shared" si="2"/>
        <v>80.856570312499997</v>
      </c>
      <c r="P9" s="5">
        <f t="shared" si="3"/>
        <v>80.856570312499997</v>
      </c>
      <c r="R9" s="5">
        <v>10.574999999999999</v>
      </c>
      <c r="S9" s="5">
        <v>16.287499999999998</v>
      </c>
      <c r="T9" s="5">
        <v>34.915999999999997</v>
      </c>
      <c r="U9" s="2">
        <v>0.41942499999999999</v>
      </c>
      <c r="V9" s="5">
        <v>78</v>
      </c>
      <c r="W9" s="5">
        <v>78</v>
      </c>
      <c r="AA9" s="2"/>
      <c r="AJ9" s="4"/>
      <c r="AR9" s="4"/>
    </row>
    <row r="10" spans="4:44">
      <c r="D10" s="5">
        <v>-10</v>
      </c>
      <c r="E10" s="5">
        <v>79.72</v>
      </c>
      <c r="F10" s="5">
        <v>30.009</v>
      </c>
      <c r="G10" s="2">
        <v>3.423</v>
      </c>
      <c r="H10" s="5">
        <f t="shared" si="0"/>
        <v>86</v>
      </c>
      <c r="I10" s="5">
        <f t="shared" si="1"/>
        <v>86</v>
      </c>
      <c r="K10" s="5">
        <v>-1.8</v>
      </c>
      <c r="L10" s="5">
        <v>68</v>
      </c>
      <c r="M10" s="5">
        <v>31.582000000000001</v>
      </c>
      <c r="N10" s="5">
        <v>2.3369999999999997</v>
      </c>
      <c r="O10" s="5">
        <f t="shared" si="2"/>
        <v>80.895499999999998</v>
      </c>
      <c r="P10" s="5">
        <f t="shared" si="3"/>
        <v>80.895499999999998</v>
      </c>
      <c r="R10" s="5">
        <v>10.3</v>
      </c>
      <c r="S10" s="5">
        <v>19.23</v>
      </c>
      <c r="T10" s="5">
        <v>34.915999999999997</v>
      </c>
      <c r="U10" s="2">
        <v>0.44700000000000001</v>
      </c>
      <c r="V10" s="5">
        <v>78</v>
      </c>
      <c r="W10" s="5">
        <v>78</v>
      </c>
      <c r="AA10" s="2"/>
      <c r="AJ10" s="4"/>
      <c r="AR10" s="4"/>
    </row>
    <row r="11" spans="4:44">
      <c r="D11" s="5">
        <v>-10.1</v>
      </c>
      <c r="E11" s="5">
        <v>78.55749999999999</v>
      </c>
      <c r="F11" s="5">
        <v>30.009</v>
      </c>
      <c r="G11" s="2">
        <v>3.4322500000000002</v>
      </c>
      <c r="H11" s="5">
        <f t="shared" si="0"/>
        <v>86.072625000000002</v>
      </c>
      <c r="I11" s="5">
        <f t="shared" si="1"/>
        <v>86.072625000000002</v>
      </c>
      <c r="K11" s="5">
        <v>-1.875</v>
      </c>
      <c r="L11" s="5">
        <v>65.392499999999998</v>
      </c>
      <c r="M11" s="5">
        <v>31.582000000000001</v>
      </c>
      <c r="N11" s="5">
        <v>2.3447499999999999</v>
      </c>
      <c r="O11" s="5">
        <f t="shared" si="2"/>
        <v>80.9345703125</v>
      </c>
      <c r="P11" s="5">
        <f t="shared" si="3"/>
        <v>80.9345703125</v>
      </c>
      <c r="R11" s="5">
        <v>10.074999999999999</v>
      </c>
      <c r="S11" s="5">
        <v>18.967500000000001</v>
      </c>
      <c r="T11" s="5">
        <v>34.915999999999997</v>
      </c>
      <c r="U11" s="2">
        <v>0.48299999999999998</v>
      </c>
      <c r="V11" s="5">
        <v>78</v>
      </c>
      <c r="W11" s="5">
        <v>78</v>
      </c>
      <c r="AA11" s="2"/>
      <c r="AJ11" s="4"/>
      <c r="AR11" s="4"/>
    </row>
    <row r="12" spans="4:44">
      <c r="D12" s="5">
        <v>-10.199999999999999</v>
      </c>
      <c r="E12" s="5">
        <v>77.394999999999996</v>
      </c>
      <c r="F12" s="5">
        <v>30.009</v>
      </c>
      <c r="G12" s="2">
        <v>3.4415</v>
      </c>
      <c r="H12" s="5">
        <f t="shared" si="0"/>
        <v>86.145499999999998</v>
      </c>
      <c r="I12" s="5">
        <f t="shared" si="1"/>
        <v>86.145499999999998</v>
      </c>
      <c r="K12" s="5">
        <v>-1.95</v>
      </c>
      <c r="L12" s="5">
        <v>62.784999999999997</v>
      </c>
      <c r="M12" s="5">
        <v>31.582000000000001</v>
      </c>
      <c r="N12" s="5">
        <v>2.3524999999999996</v>
      </c>
      <c r="O12" s="5">
        <f t="shared" si="2"/>
        <v>80.973781250000002</v>
      </c>
      <c r="P12" s="5">
        <f t="shared" si="3"/>
        <v>80.973781250000002</v>
      </c>
      <c r="R12" s="5">
        <v>9.8500000000000014</v>
      </c>
      <c r="S12" s="5">
        <v>18.705000000000002</v>
      </c>
      <c r="T12" s="5">
        <v>34.915999999999997</v>
      </c>
      <c r="U12" s="2">
        <v>0.51900000000000002</v>
      </c>
      <c r="V12" s="5">
        <v>78</v>
      </c>
      <c r="W12" s="5">
        <v>78</v>
      </c>
      <c r="AA12" s="2"/>
      <c r="AJ12" s="4"/>
      <c r="AR12" s="4"/>
    </row>
    <row r="13" spans="4:44">
      <c r="D13" s="5">
        <v>-10.3</v>
      </c>
      <c r="E13" s="5">
        <v>76.232500000000002</v>
      </c>
      <c r="F13" s="5">
        <v>30.009</v>
      </c>
      <c r="G13" s="2">
        <v>3.4507499999999998</v>
      </c>
      <c r="H13" s="5">
        <f t="shared" si="0"/>
        <v>86.218625000000003</v>
      </c>
      <c r="I13" s="5">
        <f t="shared" si="1"/>
        <v>86.218625000000003</v>
      </c>
      <c r="K13" s="5">
        <v>-2.0249999999999999</v>
      </c>
      <c r="L13" s="5">
        <v>60.177499999999988</v>
      </c>
      <c r="M13" s="5">
        <v>31.582000000000001</v>
      </c>
      <c r="N13" s="5">
        <v>2.3602499999999997</v>
      </c>
      <c r="O13" s="5">
        <f t="shared" si="2"/>
        <v>81.013132812500004</v>
      </c>
      <c r="P13" s="5">
        <f t="shared" si="3"/>
        <v>81.013132812500004</v>
      </c>
      <c r="R13" s="5">
        <v>9.625</v>
      </c>
      <c r="S13" s="5">
        <v>18.442499999999999</v>
      </c>
      <c r="T13" s="5">
        <v>34.915999999999997</v>
      </c>
      <c r="U13" s="2">
        <v>0.55499999999999994</v>
      </c>
      <c r="V13" s="5">
        <v>78</v>
      </c>
      <c r="W13" s="5">
        <v>78</v>
      </c>
      <c r="AA13" s="2"/>
      <c r="AJ13" s="4"/>
      <c r="AR13" s="4"/>
    </row>
    <row r="14" spans="4:44">
      <c r="D14" s="5">
        <v>-10.4</v>
      </c>
      <c r="E14" s="5">
        <v>75.069999999999993</v>
      </c>
      <c r="F14" s="5">
        <v>30.009</v>
      </c>
      <c r="G14" s="2">
        <v>3.46</v>
      </c>
      <c r="H14" s="5">
        <f t="shared" si="0"/>
        <v>86.292000000000002</v>
      </c>
      <c r="I14" s="5">
        <f t="shared" si="1"/>
        <v>86.292000000000002</v>
      </c>
      <c r="K14" s="5">
        <v>-2.1</v>
      </c>
      <c r="L14" s="5">
        <v>57.569999999999993</v>
      </c>
      <c r="M14" s="5">
        <v>31.582000000000001</v>
      </c>
      <c r="N14" s="5">
        <v>2.3679999999999999</v>
      </c>
      <c r="O14" s="5">
        <f t="shared" si="2"/>
        <v>81.052625000000006</v>
      </c>
      <c r="P14" s="5">
        <f t="shared" si="3"/>
        <v>81.052625000000006</v>
      </c>
      <c r="R14" s="5">
        <v>9.4</v>
      </c>
      <c r="S14" s="5">
        <v>18.18</v>
      </c>
      <c r="T14" s="5">
        <v>34.915999999999997</v>
      </c>
      <c r="U14" s="2">
        <v>0.59099999999999997</v>
      </c>
      <c r="V14" s="5">
        <v>78</v>
      </c>
      <c r="W14" s="5">
        <v>78</v>
      </c>
      <c r="AA14" s="2"/>
      <c r="AJ14" s="4"/>
      <c r="AR14" s="4"/>
    </row>
    <row r="15" spans="4:44">
      <c r="D15" s="5">
        <v>-10.525</v>
      </c>
      <c r="E15" s="5">
        <v>76.449999999999989</v>
      </c>
      <c r="F15" s="5">
        <v>30.009</v>
      </c>
      <c r="G15" s="2">
        <v>3.4860000000000002</v>
      </c>
      <c r="H15" s="5">
        <f t="shared" si="0"/>
        <v>86.3840703125</v>
      </c>
      <c r="I15" s="5">
        <f t="shared" si="1"/>
        <v>86.3840703125</v>
      </c>
      <c r="K15" s="5">
        <v>-2.2000000000000002</v>
      </c>
      <c r="L15" s="5">
        <v>55.567500000000003</v>
      </c>
      <c r="M15" s="5">
        <v>31.582000000000001</v>
      </c>
      <c r="N15" s="5">
        <v>2.1694999999999998</v>
      </c>
      <c r="O15" s="5">
        <f t="shared" si="2"/>
        <v>81.105500000000006</v>
      </c>
      <c r="P15" s="5">
        <f t="shared" si="3"/>
        <v>81.105500000000006</v>
      </c>
      <c r="R15" s="5">
        <v>9.2249999999999996</v>
      </c>
      <c r="S15" s="5">
        <v>19.287500000000001</v>
      </c>
      <c r="T15" s="5">
        <v>34.915999999999997</v>
      </c>
      <c r="U15" s="2">
        <v>0.54749999999999999</v>
      </c>
      <c r="V15" s="5">
        <v>78</v>
      </c>
      <c r="W15" s="5">
        <v>78</v>
      </c>
      <c r="AA15" s="2"/>
      <c r="AJ15" s="4"/>
      <c r="AR15" s="4"/>
    </row>
    <row r="16" spans="4:44">
      <c r="D16" s="5">
        <v>-10.65</v>
      </c>
      <c r="E16" s="5">
        <v>77.829999999999984</v>
      </c>
      <c r="F16" s="5">
        <v>30.009</v>
      </c>
      <c r="G16" s="2">
        <v>3.512</v>
      </c>
      <c r="H16" s="5">
        <f t="shared" si="0"/>
        <v>86.476531249999994</v>
      </c>
      <c r="I16" s="5">
        <f t="shared" si="1"/>
        <v>86.476531249999994</v>
      </c>
      <c r="K16" s="5">
        <v>-2.2999999999999998</v>
      </c>
      <c r="L16" s="5">
        <v>53.564999999999998</v>
      </c>
      <c r="M16" s="5">
        <v>31.582000000000001</v>
      </c>
      <c r="N16" s="5">
        <v>1.9710000000000001</v>
      </c>
      <c r="O16" s="5">
        <f t="shared" si="2"/>
        <v>81.158625000000001</v>
      </c>
      <c r="P16" s="5">
        <f t="shared" si="3"/>
        <v>81.158625000000001</v>
      </c>
      <c r="R16" s="5">
        <v>9.0500000000000007</v>
      </c>
      <c r="S16" s="5">
        <v>20.395</v>
      </c>
      <c r="T16" s="5">
        <v>34.915999999999997</v>
      </c>
      <c r="U16" s="2">
        <v>0.504</v>
      </c>
      <c r="V16" s="5">
        <v>78</v>
      </c>
      <c r="W16" s="5">
        <v>78</v>
      </c>
      <c r="AA16" s="2"/>
      <c r="AJ16" s="4"/>
      <c r="AR16" s="4"/>
    </row>
    <row r="17" spans="4:44">
      <c r="D17" s="5">
        <v>-10.775</v>
      </c>
      <c r="E17" s="5">
        <v>79.209999999999994</v>
      </c>
      <c r="F17" s="5">
        <v>30.009</v>
      </c>
      <c r="G17" s="2">
        <v>3.5379999999999998</v>
      </c>
      <c r="H17" s="5">
        <f t="shared" si="0"/>
        <v>86.569382812499995</v>
      </c>
      <c r="I17" s="5">
        <f t="shared" si="1"/>
        <v>86.569382812499995</v>
      </c>
      <c r="K17" s="5">
        <v>-2.4</v>
      </c>
      <c r="L17" s="5">
        <v>51.5625</v>
      </c>
      <c r="M17" s="5">
        <v>31.582000000000001</v>
      </c>
      <c r="N17" s="5">
        <v>1.7725000000000002</v>
      </c>
      <c r="O17" s="5">
        <f t="shared" si="2"/>
        <v>81.212000000000003</v>
      </c>
      <c r="P17" s="5">
        <f t="shared" si="3"/>
        <v>81.212000000000003</v>
      </c>
      <c r="R17" s="5">
        <v>8.875</v>
      </c>
      <c r="S17" s="5">
        <v>21.502500000000001</v>
      </c>
      <c r="T17" s="5">
        <v>34.915999999999997</v>
      </c>
      <c r="U17" s="2">
        <v>0.46049999999999996</v>
      </c>
      <c r="V17" s="5">
        <v>78</v>
      </c>
      <c r="W17" s="5">
        <v>78</v>
      </c>
      <c r="AA17" s="2"/>
      <c r="AJ17" s="4"/>
      <c r="AR17" s="4"/>
    </row>
    <row r="18" spans="4:44">
      <c r="D18" s="5">
        <v>-10.9</v>
      </c>
      <c r="E18" s="5">
        <v>80.589999999999989</v>
      </c>
      <c r="F18" s="5">
        <v>30.009</v>
      </c>
      <c r="G18" s="2">
        <v>3.5640000000000001</v>
      </c>
      <c r="H18" s="5">
        <f t="shared" si="0"/>
        <v>86.662625000000006</v>
      </c>
      <c r="I18" s="5">
        <f t="shared" si="1"/>
        <v>86.662625000000006</v>
      </c>
      <c r="K18" s="5">
        <v>-2.5</v>
      </c>
      <c r="L18" s="5">
        <v>49.56</v>
      </c>
      <c r="M18" s="5">
        <v>31.582000000000001</v>
      </c>
      <c r="N18" s="5">
        <v>1.5740000000000001</v>
      </c>
      <c r="O18" s="5">
        <f t="shared" si="2"/>
        <v>81.265625</v>
      </c>
      <c r="P18" s="5">
        <f t="shared" si="3"/>
        <v>81.265625</v>
      </c>
      <c r="R18" s="5">
        <v>8.6999999999999993</v>
      </c>
      <c r="S18" s="5">
        <v>22.61</v>
      </c>
      <c r="T18" s="5">
        <v>34.915999999999997</v>
      </c>
      <c r="U18" s="2">
        <v>0.42130000000000001</v>
      </c>
      <c r="V18" s="5">
        <v>78</v>
      </c>
      <c r="W18" s="5">
        <v>78</v>
      </c>
      <c r="AA18" s="2"/>
      <c r="AJ18" s="4"/>
      <c r="AR18" s="4"/>
    </row>
    <row r="19" spans="4:44">
      <c r="D19" s="5">
        <v>-10.975</v>
      </c>
      <c r="E19" s="5">
        <v>85.24</v>
      </c>
      <c r="F19" s="5">
        <v>30.009</v>
      </c>
      <c r="G19" s="2">
        <v>3.5645000000000002</v>
      </c>
      <c r="H19" s="5">
        <f t="shared" si="0"/>
        <v>86.718757812500002</v>
      </c>
      <c r="I19" s="5">
        <f t="shared" si="1"/>
        <v>86.718757812500002</v>
      </c>
      <c r="K19" s="5">
        <v>-2.5249999999999999</v>
      </c>
      <c r="L19" s="5">
        <v>52.002499999999998</v>
      </c>
      <c r="M19" s="5">
        <v>31.582000000000001</v>
      </c>
      <c r="N19" s="5">
        <v>1.7809999999999999</v>
      </c>
      <c r="O19" s="5">
        <f t="shared" si="2"/>
        <v>81.279070312499996</v>
      </c>
      <c r="P19" s="5">
        <f t="shared" si="3"/>
        <v>81.279070312499996</v>
      </c>
      <c r="R19" s="5">
        <v>8.625</v>
      </c>
      <c r="S19" s="5">
        <v>24.927500000000002</v>
      </c>
      <c r="T19" s="5">
        <v>34.915999999999997</v>
      </c>
      <c r="U19" s="2">
        <v>0.46949999999999997</v>
      </c>
      <c r="V19" s="5">
        <v>78</v>
      </c>
      <c r="W19" s="5">
        <v>78</v>
      </c>
      <c r="AA19" s="2"/>
      <c r="AJ19" s="4"/>
      <c r="AR19" s="4"/>
    </row>
    <row r="20" spans="4:44">
      <c r="D20" s="5">
        <v>-11.05</v>
      </c>
      <c r="E20" s="5">
        <v>89.890000000000015</v>
      </c>
      <c r="F20" s="5">
        <v>30.009</v>
      </c>
      <c r="G20" s="2">
        <v>3.5649999999999999</v>
      </c>
      <c r="H20" s="5">
        <f t="shared" si="0"/>
        <v>86.775031249999998</v>
      </c>
      <c r="I20" s="5">
        <f t="shared" si="1"/>
        <v>86.775031249999998</v>
      </c>
      <c r="K20" s="5">
        <v>-2.5499999999999998</v>
      </c>
      <c r="L20" s="5">
        <v>54.444999999999993</v>
      </c>
      <c r="M20" s="5">
        <v>31.582000000000001</v>
      </c>
      <c r="N20" s="5">
        <v>1.988</v>
      </c>
      <c r="O20" s="5">
        <f t="shared" si="2"/>
        <v>81.292531249999996</v>
      </c>
      <c r="P20" s="5">
        <f t="shared" si="3"/>
        <v>81.292531249999996</v>
      </c>
      <c r="R20" s="5">
        <v>8.5500000000000007</v>
      </c>
      <c r="S20" s="5">
        <v>27.244999999999997</v>
      </c>
      <c r="T20" s="5">
        <v>34.915999999999997</v>
      </c>
      <c r="U20" s="2">
        <v>0.52200000000000002</v>
      </c>
      <c r="V20" s="5">
        <v>78</v>
      </c>
      <c r="W20" s="5">
        <v>78</v>
      </c>
      <c r="AA20" s="2"/>
      <c r="AJ20" s="4"/>
      <c r="AR20" s="4"/>
    </row>
    <row r="21" spans="4:44">
      <c r="D21" s="5">
        <v>-11.125</v>
      </c>
      <c r="E21" s="5">
        <v>94.54</v>
      </c>
      <c r="F21" s="5">
        <v>30.009</v>
      </c>
      <c r="G21" s="2">
        <v>3.5655000000000001</v>
      </c>
      <c r="H21" s="5">
        <f t="shared" si="0"/>
        <v>86.831445312499994</v>
      </c>
      <c r="I21" s="5">
        <f t="shared" si="1"/>
        <v>86.831445312499994</v>
      </c>
      <c r="K21" s="5">
        <v>-2.5750000000000002</v>
      </c>
      <c r="L21" s="5">
        <v>56.887499999999996</v>
      </c>
      <c r="M21" s="5">
        <v>31.582000000000001</v>
      </c>
      <c r="N21" s="5">
        <v>2.1949999999999998</v>
      </c>
      <c r="O21" s="5">
        <f t="shared" si="2"/>
        <v>81.306007812499999</v>
      </c>
      <c r="P21" s="5">
        <f t="shared" si="3"/>
        <v>81.306007812499999</v>
      </c>
      <c r="R21" s="5">
        <v>8.4749999999999996</v>
      </c>
      <c r="S21" s="5">
        <v>29.5625</v>
      </c>
      <c r="T21" s="5">
        <v>34.915999999999997</v>
      </c>
      <c r="U21" s="2">
        <v>0.57450000000000001</v>
      </c>
      <c r="V21" s="5">
        <v>78</v>
      </c>
      <c r="W21" s="5">
        <v>78</v>
      </c>
      <c r="AA21" s="2"/>
      <c r="AJ21" s="4"/>
      <c r="AR21" s="4"/>
    </row>
    <row r="22" spans="4:44">
      <c r="D22" s="5">
        <v>-11.2</v>
      </c>
      <c r="E22" s="5">
        <v>99.19</v>
      </c>
      <c r="F22" s="5">
        <v>30.009</v>
      </c>
      <c r="G22" s="2">
        <v>3.5660000000000003</v>
      </c>
      <c r="H22" s="5">
        <f t="shared" si="0"/>
        <v>86.888000000000005</v>
      </c>
      <c r="I22" s="5">
        <f t="shared" si="1"/>
        <v>86.888000000000005</v>
      </c>
      <c r="K22" s="5">
        <v>-2.6</v>
      </c>
      <c r="L22" s="5">
        <v>59.33</v>
      </c>
      <c r="M22" s="5">
        <v>31.582000000000001</v>
      </c>
      <c r="N22" s="5">
        <v>2.4019999999999997</v>
      </c>
      <c r="O22" s="5">
        <f t="shared" si="2"/>
        <v>81.319500000000005</v>
      </c>
      <c r="P22" s="5">
        <f t="shared" si="3"/>
        <v>81.319500000000005</v>
      </c>
      <c r="R22" s="5">
        <v>8.4</v>
      </c>
      <c r="S22" s="5">
        <v>31.880000000000003</v>
      </c>
      <c r="T22" s="5">
        <v>34.915999999999997</v>
      </c>
      <c r="U22" s="2">
        <v>0.627</v>
      </c>
      <c r="V22" s="5">
        <v>78</v>
      </c>
      <c r="W22" s="5">
        <v>78</v>
      </c>
      <c r="AA22" s="2"/>
      <c r="AJ22" s="4"/>
      <c r="AR22" s="4"/>
    </row>
    <row r="23" spans="4:44">
      <c r="D23" s="5">
        <v>-11.25</v>
      </c>
      <c r="E23" s="5">
        <v>108.49249999999999</v>
      </c>
      <c r="F23" s="5">
        <v>30.009</v>
      </c>
      <c r="G23" s="2">
        <v>3.5887500000000001</v>
      </c>
      <c r="H23" s="5">
        <f t="shared" si="0"/>
        <v>86.92578125</v>
      </c>
      <c r="I23" s="5">
        <f t="shared" si="1"/>
        <v>86.92578125</v>
      </c>
      <c r="K23" s="5">
        <v>-2.625</v>
      </c>
      <c r="L23" s="5">
        <v>60.724999999999994</v>
      </c>
      <c r="M23" s="5">
        <v>31.582000000000001</v>
      </c>
      <c r="N23" s="5">
        <v>2.4089999999999998</v>
      </c>
      <c r="O23" s="5">
        <f t="shared" si="2"/>
        <v>81.3330078125</v>
      </c>
      <c r="P23" s="5">
        <f t="shared" si="3"/>
        <v>81.3330078125</v>
      </c>
      <c r="R23" s="5">
        <v>8.5</v>
      </c>
      <c r="S23" s="5">
        <v>32.292499999999997</v>
      </c>
      <c r="T23" s="5">
        <v>34.915999999999997</v>
      </c>
      <c r="U23" s="2">
        <v>0.58875</v>
      </c>
      <c r="V23" s="5">
        <v>78</v>
      </c>
      <c r="W23" s="5">
        <v>78</v>
      </c>
      <c r="AA23" s="2"/>
      <c r="AJ23" s="4"/>
      <c r="AR23" s="4"/>
    </row>
    <row r="24" spans="4:44">
      <c r="D24" s="5">
        <v>-11.3</v>
      </c>
      <c r="E24" s="5">
        <v>117.795</v>
      </c>
      <c r="F24" s="5">
        <v>30.009</v>
      </c>
      <c r="G24" s="2">
        <v>3.6114999999999999</v>
      </c>
      <c r="H24" s="5">
        <f t="shared" si="0"/>
        <v>86.963625000000008</v>
      </c>
      <c r="I24" s="5">
        <f t="shared" si="1"/>
        <v>86.963625000000008</v>
      </c>
      <c r="K24" s="5">
        <v>-2.65</v>
      </c>
      <c r="L24" s="5">
        <v>62.12</v>
      </c>
      <c r="M24" s="5">
        <v>31.582000000000001</v>
      </c>
      <c r="N24" s="5">
        <v>2.4159999999999999</v>
      </c>
      <c r="O24" s="5">
        <f t="shared" si="2"/>
        <v>81.346531249999998</v>
      </c>
      <c r="P24" s="5">
        <f t="shared" si="3"/>
        <v>81.346531249999998</v>
      </c>
      <c r="R24" s="5">
        <v>8.6000000000000014</v>
      </c>
      <c r="S24" s="5">
        <v>32.704999999999998</v>
      </c>
      <c r="T24" s="5">
        <v>34.915999999999997</v>
      </c>
      <c r="U24" s="2">
        <v>0.55049999999999999</v>
      </c>
      <c r="V24" s="5">
        <v>78</v>
      </c>
      <c r="W24" s="5">
        <v>78</v>
      </c>
      <c r="AA24" s="2"/>
      <c r="AJ24" s="4"/>
      <c r="AR24" s="4"/>
    </row>
    <row r="25" spans="4:44">
      <c r="D25" s="5">
        <v>-11.35</v>
      </c>
      <c r="E25" s="5">
        <v>127.0975</v>
      </c>
      <c r="F25" s="5">
        <v>30.009</v>
      </c>
      <c r="G25" s="2">
        <v>3.6342500000000002</v>
      </c>
      <c r="H25" s="5">
        <f t="shared" si="0"/>
        <v>87.001531249999999</v>
      </c>
      <c r="I25" s="5">
        <f t="shared" si="1"/>
        <v>87.001531249999999</v>
      </c>
      <c r="K25" s="5">
        <v>-2.6749999999999998</v>
      </c>
      <c r="L25" s="5">
        <v>63.515000000000001</v>
      </c>
      <c r="M25" s="5">
        <v>31.582000000000001</v>
      </c>
      <c r="N25" s="5">
        <v>2.4229999999999996</v>
      </c>
      <c r="O25" s="5">
        <f t="shared" si="2"/>
        <v>81.3600703125</v>
      </c>
      <c r="P25" s="5">
        <f t="shared" si="3"/>
        <v>81.3600703125</v>
      </c>
      <c r="R25" s="5">
        <v>8.7000000000000011</v>
      </c>
      <c r="S25" s="5">
        <v>33.1175</v>
      </c>
      <c r="T25" s="5">
        <v>34.915999999999997</v>
      </c>
      <c r="U25" s="2">
        <v>0.51224999999999998</v>
      </c>
      <c r="V25" s="5">
        <v>78</v>
      </c>
      <c r="W25" s="5">
        <v>78</v>
      </c>
      <c r="AA25" s="2"/>
      <c r="AJ25" s="4"/>
      <c r="AR25" s="4"/>
    </row>
    <row r="26" spans="4:44">
      <c r="D26" s="5">
        <v>-11.4</v>
      </c>
      <c r="E26" s="5">
        <v>136.4</v>
      </c>
      <c r="F26" s="5">
        <v>30.009</v>
      </c>
      <c r="G26" s="2">
        <v>3.657</v>
      </c>
      <c r="H26" s="5">
        <f t="shared" si="0"/>
        <v>87.039500000000004</v>
      </c>
      <c r="I26" s="5">
        <f t="shared" si="1"/>
        <v>87.039500000000004</v>
      </c>
      <c r="K26" s="5">
        <v>-2.7</v>
      </c>
      <c r="L26" s="5">
        <v>64.91</v>
      </c>
      <c r="M26" s="5">
        <v>31.582000000000001</v>
      </c>
      <c r="N26" s="5">
        <v>2.4299999999999997</v>
      </c>
      <c r="O26" s="5">
        <f t="shared" si="2"/>
        <v>81.373625000000004</v>
      </c>
      <c r="P26" s="5">
        <f t="shared" si="3"/>
        <v>81.373625000000004</v>
      </c>
      <c r="R26" s="5">
        <v>8.8000000000000007</v>
      </c>
      <c r="S26" s="5">
        <v>33.53</v>
      </c>
      <c r="T26" s="5">
        <v>34.915999999999997</v>
      </c>
      <c r="U26" s="2">
        <v>0.47399999999999998</v>
      </c>
      <c r="V26" s="5">
        <v>78</v>
      </c>
      <c r="W26" s="5">
        <v>78</v>
      </c>
      <c r="AA26" s="2"/>
      <c r="AJ26" s="4"/>
      <c r="AR26" s="4"/>
    </row>
    <row r="27" spans="4:44">
      <c r="D27" s="5">
        <v>-11.475</v>
      </c>
      <c r="E27" s="5">
        <v>150.3475</v>
      </c>
      <c r="F27" s="5">
        <v>30.009</v>
      </c>
      <c r="G27" s="2">
        <v>3.7305000000000001</v>
      </c>
      <c r="H27" s="5">
        <f t="shared" si="0"/>
        <v>87.096570312500006</v>
      </c>
      <c r="I27" s="5">
        <f t="shared" si="1"/>
        <v>87.096570312500006</v>
      </c>
      <c r="K27" s="5">
        <v>-2.75</v>
      </c>
      <c r="L27" s="5">
        <v>65.53</v>
      </c>
      <c r="M27" s="5">
        <v>31.582000000000001</v>
      </c>
      <c r="N27" s="5">
        <v>2.4502499999999996</v>
      </c>
      <c r="O27" s="5">
        <f t="shared" si="2"/>
        <v>81.400781249999994</v>
      </c>
      <c r="P27" s="5">
        <f t="shared" si="3"/>
        <v>81.400781249999994</v>
      </c>
      <c r="R27" s="5">
        <v>9.7000000000000011</v>
      </c>
      <c r="S27" s="5">
        <v>33.907499999999999</v>
      </c>
      <c r="T27" s="5">
        <v>34.915999999999997</v>
      </c>
      <c r="U27" s="2">
        <v>0.45874999999999999</v>
      </c>
      <c r="V27" s="5">
        <v>78</v>
      </c>
      <c r="W27" s="5">
        <v>78</v>
      </c>
      <c r="AA27" s="2"/>
      <c r="AJ27" s="4"/>
      <c r="AR27" s="4"/>
    </row>
    <row r="28" spans="4:44">
      <c r="D28" s="5">
        <v>-11.55</v>
      </c>
      <c r="E28" s="5">
        <v>164.29500000000002</v>
      </c>
      <c r="F28" s="5">
        <v>30.009</v>
      </c>
      <c r="G28" s="2">
        <v>3.8039999999999998</v>
      </c>
      <c r="H28" s="5">
        <f t="shared" si="0"/>
        <v>87.153781249999994</v>
      </c>
      <c r="I28" s="5">
        <f t="shared" si="1"/>
        <v>87.153781249999994</v>
      </c>
      <c r="K28" s="5">
        <v>-2.8</v>
      </c>
      <c r="L28" s="5">
        <v>66.150000000000006</v>
      </c>
      <c r="M28" s="5">
        <v>31.582000000000001</v>
      </c>
      <c r="N28" s="5">
        <v>2.4704999999999999</v>
      </c>
      <c r="O28" s="5">
        <f t="shared" si="2"/>
        <v>81.427999999999997</v>
      </c>
      <c r="P28" s="5">
        <f t="shared" si="3"/>
        <v>81.427999999999997</v>
      </c>
      <c r="R28" s="5">
        <v>10.6</v>
      </c>
      <c r="S28" s="5">
        <v>34.285000000000004</v>
      </c>
      <c r="T28" s="5">
        <v>34.915999999999997</v>
      </c>
      <c r="U28" s="2">
        <v>0.44350000000000001</v>
      </c>
      <c r="V28" s="5">
        <v>78</v>
      </c>
      <c r="W28" s="5">
        <v>78</v>
      </c>
      <c r="AA28" s="2"/>
      <c r="AJ28" s="4"/>
      <c r="AR28" s="4"/>
    </row>
    <row r="29" spans="4:44">
      <c r="D29" s="5">
        <v>-11.625</v>
      </c>
      <c r="E29" s="5">
        <v>178.24250000000001</v>
      </c>
      <c r="F29" s="5">
        <v>30.009</v>
      </c>
      <c r="G29" s="2">
        <v>3.8774999999999999</v>
      </c>
      <c r="H29" s="5">
        <f t="shared" si="0"/>
        <v>87.211132812499997</v>
      </c>
      <c r="I29" s="5">
        <f t="shared" si="1"/>
        <v>87.211132812499997</v>
      </c>
      <c r="K29" s="5">
        <v>-2.85</v>
      </c>
      <c r="L29" s="5">
        <v>66.77</v>
      </c>
      <c r="M29" s="5">
        <v>31.582000000000001</v>
      </c>
      <c r="N29" s="5">
        <v>2.4907499999999998</v>
      </c>
      <c r="O29" s="5">
        <f t="shared" si="2"/>
        <v>81.455281249999999</v>
      </c>
      <c r="P29" s="5">
        <f t="shared" si="3"/>
        <v>81.455281249999999</v>
      </c>
      <c r="R29" s="5">
        <v>11.5</v>
      </c>
      <c r="S29" s="5">
        <v>34.662500000000001</v>
      </c>
      <c r="T29" s="5">
        <v>34.915999999999997</v>
      </c>
      <c r="U29" s="2">
        <v>0.42824999999999996</v>
      </c>
      <c r="V29" s="5">
        <v>78</v>
      </c>
      <c r="W29" s="5">
        <v>78</v>
      </c>
      <c r="AA29" s="2"/>
      <c r="AJ29" s="4"/>
      <c r="AR29" s="4"/>
    </row>
    <row r="30" spans="4:44">
      <c r="D30" s="5">
        <v>-11.7</v>
      </c>
      <c r="E30" s="5">
        <v>192.19</v>
      </c>
      <c r="F30" s="5">
        <v>30.009</v>
      </c>
      <c r="G30" s="2">
        <v>3.9510000000000001</v>
      </c>
      <c r="H30" s="5">
        <f t="shared" si="0"/>
        <v>87.268625</v>
      </c>
      <c r="I30" s="5">
        <f t="shared" si="1"/>
        <v>87.268625</v>
      </c>
      <c r="K30" s="5">
        <v>-2.9</v>
      </c>
      <c r="L30" s="5">
        <v>67.39</v>
      </c>
      <c r="M30" s="5">
        <v>31.582000000000001</v>
      </c>
      <c r="N30" s="5">
        <v>2.5109999999999997</v>
      </c>
      <c r="O30" s="5">
        <f t="shared" si="2"/>
        <v>81.482624999999999</v>
      </c>
      <c r="P30" s="5">
        <f t="shared" si="3"/>
        <v>81.482624999999999</v>
      </c>
      <c r="R30" s="5">
        <v>12.4</v>
      </c>
      <c r="S30" s="5">
        <v>35.04</v>
      </c>
      <c r="T30" s="5">
        <v>34.915999999999997</v>
      </c>
      <c r="U30" s="2">
        <v>0.41759999999999997</v>
      </c>
      <c r="V30" s="5">
        <v>78</v>
      </c>
      <c r="W30" s="5">
        <v>78</v>
      </c>
      <c r="AA30" s="2"/>
      <c r="AJ30" s="4"/>
      <c r="AR30" s="4"/>
    </row>
    <row r="31" spans="4:44">
      <c r="D31" s="5">
        <v>-11.824999999999999</v>
      </c>
      <c r="E31" s="5">
        <v>187.10499999999999</v>
      </c>
      <c r="F31" s="5">
        <v>30.009</v>
      </c>
      <c r="G31" s="2">
        <v>3.99125</v>
      </c>
      <c r="H31" s="5">
        <f t="shared" si="0"/>
        <v>87.364757812500002</v>
      </c>
      <c r="I31" s="5">
        <f t="shared" si="1"/>
        <v>87.364757812500002</v>
      </c>
      <c r="K31" s="5">
        <v>-2.9</v>
      </c>
      <c r="L31" s="5">
        <v>68.032499999999999</v>
      </c>
      <c r="M31" s="5">
        <v>31.582000000000001</v>
      </c>
      <c r="N31" s="5">
        <v>2.5867499999999999</v>
      </c>
      <c r="O31" s="5">
        <f t="shared" si="2"/>
        <v>81.482624999999999</v>
      </c>
      <c r="P31" s="5">
        <f t="shared" si="3"/>
        <v>81.482624999999999</v>
      </c>
      <c r="R31" s="5">
        <v>13.324999999999999</v>
      </c>
      <c r="S31" s="5">
        <v>35.307499999999997</v>
      </c>
      <c r="T31" s="5">
        <v>34.915999999999997</v>
      </c>
      <c r="U31" s="2">
        <v>0.42949999999999999</v>
      </c>
      <c r="V31" s="5">
        <v>78</v>
      </c>
      <c r="W31" s="5">
        <v>78</v>
      </c>
      <c r="AA31" s="2"/>
      <c r="AJ31" s="4"/>
      <c r="AR31" s="4"/>
    </row>
    <row r="32" spans="4:44">
      <c r="D32" s="5">
        <v>-11.95</v>
      </c>
      <c r="E32" s="5">
        <v>182.02</v>
      </c>
      <c r="F32" s="5">
        <v>30.009</v>
      </c>
      <c r="G32" s="2">
        <v>4.0314999999999994</v>
      </c>
      <c r="H32" s="5">
        <f t="shared" si="0"/>
        <v>87.461281249999999</v>
      </c>
      <c r="I32" s="5">
        <f t="shared" si="1"/>
        <v>87.461281249999999</v>
      </c>
      <c r="K32" s="5">
        <v>-2.9</v>
      </c>
      <c r="L32" s="5">
        <v>68.674999999999997</v>
      </c>
      <c r="M32" s="5">
        <v>31.582000000000001</v>
      </c>
      <c r="N32" s="5">
        <v>2.6625000000000001</v>
      </c>
      <c r="O32" s="5">
        <f t="shared" si="2"/>
        <v>81.482624999999999</v>
      </c>
      <c r="P32" s="5">
        <f t="shared" si="3"/>
        <v>81.482624999999999</v>
      </c>
      <c r="R32" s="5">
        <v>14.25</v>
      </c>
      <c r="S32" s="5">
        <v>35.575000000000003</v>
      </c>
      <c r="T32" s="5">
        <v>34.915999999999997</v>
      </c>
      <c r="U32" s="2">
        <v>0.44599999999999995</v>
      </c>
      <c r="V32" s="5">
        <v>78</v>
      </c>
      <c r="W32" s="5">
        <v>78</v>
      </c>
      <c r="AA32" s="2"/>
      <c r="AJ32" s="4"/>
      <c r="AR32" s="4"/>
    </row>
    <row r="33" spans="4:44">
      <c r="D33" s="5">
        <v>-12.074999999999999</v>
      </c>
      <c r="E33" s="5">
        <v>176.935</v>
      </c>
      <c r="F33" s="5">
        <v>30.009</v>
      </c>
      <c r="G33" s="2">
        <v>4.0717499999999998</v>
      </c>
      <c r="H33" s="5">
        <f t="shared" si="0"/>
        <v>87.558195312500004</v>
      </c>
      <c r="I33" s="5">
        <f t="shared" si="1"/>
        <v>87.558195312500004</v>
      </c>
      <c r="K33" s="5">
        <v>-2.9</v>
      </c>
      <c r="L33" s="5">
        <v>69.317499999999995</v>
      </c>
      <c r="M33" s="5">
        <v>31.582000000000001</v>
      </c>
      <c r="N33" s="5">
        <v>2.7382499999999999</v>
      </c>
      <c r="O33" s="5">
        <f t="shared" si="2"/>
        <v>81.482624999999999</v>
      </c>
      <c r="P33" s="5">
        <f t="shared" si="3"/>
        <v>81.482624999999999</v>
      </c>
      <c r="R33" s="5">
        <v>15.175000000000001</v>
      </c>
      <c r="S33" s="5">
        <v>35.842500000000001</v>
      </c>
      <c r="T33" s="5">
        <v>34.915999999999997</v>
      </c>
      <c r="U33" s="2">
        <v>0.46249999999999997</v>
      </c>
      <c r="V33" s="5">
        <v>78</v>
      </c>
      <c r="W33" s="5">
        <v>78</v>
      </c>
      <c r="AA33" s="2"/>
      <c r="AJ33" s="4"/>
      <c r="AR33" s="4"/>
    </row>
    <row r="34" spans="4:44">
      <c r="D34" s="5">
        <v>-12.2</v>
      </c>
      <c r="E34" s="5">
        <v>171.85</v>
      </c>
      <c r="F34" s="5">
        <v>30.009</v>
      </c>
      <c r="G34" s="2">
        <v>4.1120000000000001</v>
      </c>
      <c r="H34" s="5">
        <f t="shared" si="0"/>
        <v>87.655500000000004</v>
      </c>
      <c r="I34" s="5">
        <f t="shared" si="1"/>
        <v>87.655500000000004</v>
      </c>
      <c r="K34" s="5">
        <v>-2.9</v>
      </c>
      <c r="L34" s="5">
        <v>69.960000000000008</v>
      </c>
      <c r="M34" s="5">
        <v>31.582000000000001</v>
      </c>
      <c r="N34" s="5">
        <v>2.8140000000000001</v>
      </c>
      <c r="O34" s="5">
        <f t="shared" si="2"/>
        <v>81.482624999999999</v>
      </c>
      <c r="P34" s="5">
        <f t="shared" si="3"/>
        <v>81.482624999999999</v>
      </c>
      <c r="R34" s="5">
        <v>16.100000000000001</v>
      </c>
      <c r="S34" s="5">
        <v>36.11</v>
      </c>
      <c r="T34" s="5">
        <v>34.915999999999997</v>
      </c>
      <c r="U34" s="2">
        <v>0.47899999999999998</v>
      </c>
      <c r="V34" s="5">
        <v>78</v>
      </c>
      <c r="W34" s="5">
        <v>78</v>
      </c>
      <c r="AA34" s="2"/>
      <c r="AJ34" s="4"/>
      <c r="AR34" s="4"/>
    </row>
    <row r="35" spans="4:44">
      <c r="D35" s="5">
        <v>-12.425000000000001</v>
      </c>
      <c r="E35" s="5">
        <v>167.53</v>
      </c>
      <c r="F35" s="5">
        <v>30.009</v>
      </c>
      <c r="G35" s="2">
        <v>4.1652499999999995</v>
      </c>
      <c r="H35" s="5">
        <f t="shared" si="0"/>
        <v>87.831632812500004</v>
      </c>
      <c r="I35" s="5">
        <f t="shared" si="1"/>
        <v>87.831632812500004</v>
      </c>
      <c r="K35" s="5">
        <v>-2.875</v>
      </c>
      <c r="L35" s="5">
        <v>71.150000000000006</v>
      </c>
      <c r="M35" s="5">
        <v>31.582000000000001</v>
      </c>
      <c r="N35" s="5">
        <v>2.806</v>
      </c>
      <c r="O35" s="5">
        <f t="shared" si="2"/>
        <v>81.468945312499997</v>
      </c>
      <c r="P35" s="5">
        <f t="shared" si="3"/>
        <v>81.468945312499997</v>
      </c>
      <c r="R35" s="5">
        <v>16.524999999999999</v>
      </c>
      <c r="S35" s="5">
        <v>36.277499999999996</v>
      </c>
      <c r="T35" s="5">
        <v>34.915999999999997</v>
      </c>
      <c r="U35" s="2">
        <v>0.46725</v>
      </c>
      <c r="V35" s="5">
        <v>78</v>
      </c>
      <c r="W35" s="5">
        <v>78</v>
      </c>
      <c r="AA35" s="2"/>
      <c r="AJ35" s="4"/>
      <c r="AR35" s="4"/>
    </row>
    <row r="36" spans="4:44">
      <c r="D36" s="5">
        <v>-12.65</v>
      </c>
      <c r="E36" s="5">
        <v>163.21</v>
      </c>
      <c r="F36" s="5">
        <v>30.009</v>
      </c>
      <c r="G36" s="2">
        <v>4.2184999999999997</v>
      </c>
      <c r="H36" s="5">
        <f t="shared" si="0"/>
        <v>88.009031249999992</v>
      </c>
      <c r="I36" s="5">
        <f t="shared" si="1"/>
        <v>88.009031249999992</v>
      </c>
      <c r="K36" s="5">
        <v>-2.85</v>
      </c>
      <c r="L36" s="5">
        <v>72.34</v>
      </c>
      <c r="M36" s="5">
        <v>31.582000000000001</v>
      </c>
      <c r="N36" s="5">
        <v>2.798</v>
      </c>
      <c r="O36" s="5">
        <f t="shared" si="2"/>
        <v>81.455281249999999</v>
      </c>
      <c r="P36" s="5">
        <f t="shared" si="3"/>
        <v>81.455281249999999</v>
      </c>
      <c r="R36" s="5">
        <v>16.95</v>
      </c>
      <c r="S36" s="5">
        <v>36.445</v>
      </c>
      <c r="T36" s="5">
        <v>34.915999999999997</v>
      </c>
      <c r="U36" s="2">
        <v>0.45550000000000002</v>
      </c>
      <c r="V36" s="5">
        <v>78</v>
      </c>
      <c r="W36" s="5">
        <v>78</v>
      </c>
      <c r="AA36" s="2"/>
      <c r="AJ36" s="4"/>
      <c r="AR36" s="4"/>
    </row>
    <row r="37" spans="4:44">
      <c r="D37" s="5">
        <v>-12.875</v>
      </c>
      <c r="E37" s="5">
        <v>158.88999999999999</v>
      </c>
      <c r="F37" s="5">
        <v>30.009</v>
      </c>
      <c r="G37" s="2">
        <v>4.2717499999999999</v>
      </c>
      <c r="H37" s="5">
        <f t="shared" si="0"/>
        <v>88.187695312499997</v>
      </c>
      <c r="I37" s="5">
        <f t="shared" si="1"/>
        <v>88.187695312499997</v>
      </c>
      <c r="K37" s="5">
        <v>-2.8250000000000002</v>
      </c>
      <c r="L37" s="5">
        <v>73.53</v>
      </c>
      <c r="M37" s="5">
        <v>31.582000000000001</v>
      </c>
      <c r="N37" s="5">
        <v>2.79</v>
      </c>
      <c r="O37" s="5">
        <f t="shared" si="2"/>
        <v>81.441632812500004</v>
      </c>
      <c r="P37" s="5">
        <f t="shared" si="3"/>
        <v>81.441632812500004</v>
      </c>
      <c r="R37" s="5">
        <v>17.375</v>
      </c>
      <c r="S37" s="5">
        <v>36.612499999999997</v>
      </c>
      <c r="T37" s="5">
        <v>34.915999999999997</v>
      </c>
      <c r="U37" s="2">
        <v>0.44374999999999998</v>
      </c>
      <c r="V37" s="5">
        <v>78</v>
      </c>
      <c r="W37" s="5">
        <v>78</v>
      </c>
      <c r="AA37" s="2"/>
      <c r="AJ37" s="4"/>
      <c r="AR37" s="4"/>
    </row>
    <row r="38" spans="4:44">
      <c r="D38" s="5">
        <v>-13.1</v>
      </c>
      <c r="E38" s="5">
        <v>154.57</v>
      </c>
      <c r="F38" s="5">
        <v>30.009</v>
      </c>
      <c r="G38" s="2">
        <v>4.3250000000000002</v>
      </c>
      <c r="H38" s="5">
        <f t="shared" si="0"/>
        <v>88.367625000000004</v>
      </c>
      <c r="I38" s="5">
        <f t="shared" si="1"/>
        <v>88.367625000000004</v>
      </c>
      <c r="K38" s="5">
        <v>-2.8</v>
      </c>
      <c r="L38" s="5">
        <v>74.72</v>
      </c>
      <c r="M38" s="5">
        <v>31.582000000000001</v>
      </c>
      <c r="N38" s="5">
        <v>2.782</v>
      </c>
      <c r="O38" s="5">
        <f t="shared" si="2"/>
        <v>81.427999999999997</v>
      </c>
      <c r="P38" s="5">
        <f t="shared" si="3"/>
        <v>81.427999999999997</v>
      </c>
      <c r="R38" s="5">
        <v>17.8</v>
      </c>
      <c r="S38" s="5">
        <v>36.78</v>
      </c>
      <c r="T38" s="5">
        <v>34.915999999999997</v>
      </c>
      <c r="U38" s="2">
        <v>0.432</v>
      </c>
      <c r="V38" s="5">
        <v>78</v>
      </c>
      <c r="W38" s="5">
        <v>78</v>
      </c>
      <c r="AA38" s="2"/>
      <c r="AJ38" s="4"/>
      <c r="AR38" s="4"/>
    </row>
    <row r="39" spans="4:44">
      <c r="D39" s="5">
        <v>-13.2</v>
      </c>
      <c r="E39" s="5">
        <v>153.91249999999999</v>
      </c>
      <c r="F39" s="5">
        <v>30.009</v>
      </c>
      <c r="G39" s="2">
        <v>4.3834999999999997</v>
      </c>
      <c r="H39" s="5">
        <f t="shared" si="0"/>
        <v>88.448000000000008</v>
      </c>
      <c r="I39" s="5">
        <f t="shared" si="1"/>
        <v>88.448000000000008</v>
      </c>
      <c r="K39" s="5">
        <v>-2.7250000000000001</v>
      </c>
      <c r="L39" s="5">
        <v>74.825000000000003</v>
      </c>
      <c r="M39" s="5">
        <v>31.582000000000001</v>
      </c>
      <c r="N39" s="5">
        <v>2.8072500000000002</v>
      </c>
      <c r="O39" s="5">
        <f t="shared" si="2"/>
        <v>81.387195312499998</v>
      </c>
      <c r="P39" s="5">
        <f t="shared" si="3"/>
        <v>81.387195312499998</v>
      </c>
      <c r="R39" s="5">
        <v>18.125</v>
      </c>
      <c r="S39" s="5">
        <v>36.54</v>
      </c>
      <c r="T39" s="5">
        <v>34.915999999999997</v>
      </c>
      <c r="U39" s="2">
        <v>0.41187499999999999</v>
      </c>
      <c r="V39" s="5">
        <v>78</v>
      </c>
      <c r="W39" s="5">
        <v>78</v>
      </c>
      <c r="AA39" s="2"/>
      <c r="AJ39" s="4"/>
      <c r="AR39" s="4"/>
    </row>
    <row r="40" spans="4:44">
      <c r="D40" s="5">
        <v>-13.3</v>
      </c>
      <c r="E40" s="5">
        <v>153.255</v>
      </c>
      <c r="F40" s="5">
        <v>30.009</v>
      </c>
      <c r="G40" s="2">
        <v>4.4419999999999993</v>
      </c>
      <c r="H40" s="5">
        <f t="shared" si="0"/>
        <v>88.528625000000005</v>
      </c>
      <c r="I40" s="5">
        <f t="shared" si="1"/>
        <v>88.528625000000005</v>
      </c>
      <c r="K40" s="5">
        <v>-2.65</v>
      </c>
      <c r="L40" s="5">
        <v>74.930000000000007</v>
      </c>
      <c r="M40" s="5">
        <v>31.582000000000001</v>
      </c>
      <c r="N40" s="5">
        <v>2.8325</v>
      </c>
      <c r="O40" s="5">
        <f t="shared" si="2"/>
        <v>81.346531249999998</v>
      </c>
      <c r="P40" s="5">
        <f t="shared" si="3"/>
        <v>81.346531249999998</v>
      </c>
      <c r="R40" s="5">
        <v>18.45</v>
      </c>
      <c r="S40" s="5">
        <v>36.299999999999997</v>
      </c>
      <c r="T40" s="5">
        <v>34.915999999999997</v>
      </c>
      <c r="U40" s="2">
        <v>0.41154999999999997</v>
      </c>
      <c r="V40" s="5">
        <v>78</v>
      </c>
      <c r="W40" s="5">
        <v>78</v>
      </c>
      <c r="AA40" s="2"/>
      <c r="AJ40" s="4"/>
      <c r="AR40" s="4"/>
    </row>
    <row r="41" spans="4:44">
      <c r="D41" s="5">
        <v>-13.4</v>
      </c>
      <c r="E41" s="5">
        <v>152.5975</v>
      </c>
      <c r="F41" s="5">
        <v>30.009</v>
      </c>
      <c r="G41" s="2">
        <v>4.5004999999999997</v>
      </c>
      <c r="H41" s="5">
        <f t="shared" si="0"/>
        <v>88.609499999999997</v>
      </c>
      <c r="I41" s="5">
        <f t="shared" si="1"/>
        <v>88.609499999999997</v>
      </c>
      <c r="K41" s="5">
        <v>-2.5750000000000002</v>
      </c>
      <c r="L41" s="5">
        <v>75.035000000000011</v>
      </c>
      <c r="M41" s="5">
        <v>31.582000000000001</v>
      </c>
      <c r="N41" s="5">
        <v>2.8577499999999998</v>
      </c>
      <c r="O41" s="5">
        <f t="shared" si="2"/>
        <v>81.306007812499999</v>
      </c>
      <c r="P41" s="5">
        <f t="shared" si="3"/>
        <v>81.306007812499999</v>
      </c>
      <c r="R41" s="5">
        <v>18.774999999999999</v>
      </c>
      <c r="S41" s="5">
        <v>36.06</v>
      </c>
      <c r="T41" s="5">
        <v>34.915999999999997</v>
      </c>
      <c r="U41" s="2">
        <v>0.41122500000000001</v>
      </c>
      <c r="V41" s="5">
        <v>78</v>
      </c>
      <c r="W41" s="5">
        <v>78</v>
      </c>
      <c r="AA41" s="2"/>
      <c r="AJ41" s="4"/>
      <c r="AR41" s="4"/>
    </row>
    <row r="42" spans="4:44">
      <c r="D42" s="5">
        <v>-13.5</v>
      </c>
      <c r="E42" s="5">
        <v>151.94</v>
      </c>
      <c r="F42" s="5">
        <v>30.009</v>
      </c>
      <c r="G42" s="2">
        <v>4.5589999999999993</v>
      </c>
      <c r="H42" s="5">
        <f t="shared" si="0"/>
        <v>88.690624999999997</v>
      </c>
      <c r="I42" s="5">
        <f t="shared" si="1"/>
        <v>88.690624999999997</v>
      </c>
      <c r="K42" s="5">
        <v>-2.5</v>
      </c>
      <c r="L42" s="5">
        <v>75.14</v>
      </c>
      <c r="M42" s="5">
        <v>31.582000000000001</v>
      </c>
      <c r="N42" s="5">
        <v>2.883</v>
      </c>
      <c r="O42" s="5">
        <f t="shared" si="2"/>
        <v>81.265625</v>
      </c>
      <c r="P42" s="5">
        <f t="shared" si="3"/>
        <v>81.265625</v>
      </c>
      <c r="R42" s="5">
        <v>19.100000000000001</v>
      </c>
      <c r="S42" s="5">
        <v>35.82</v>
      </c>
      <c r="T42" s="5">
        <v>34.915999999999997</v>
      </c>
      <c r="U42" s="2">
        <v>0.41089999999999999</v>
      </c>
      <c r="V42" s="5">
        <v>78</v>
      </c>
      <c r="W42" s="5">
        <v>78</v>
      </c>
      <c r="AA42" s="2"/>
      <c r="AJ42" s="4"/>
      <c r="AR42" s="4"/>
    </row>
    <row r="43" spans="4:44">
      <c r="D43" s="5">
        <v>-13.324999999999999</v>
      </c>
      <c r="E43" s="5">
        <v>151.56</v>
      </c>
      <c r="F43" s="5">
        <v>30.009</v>
      </c>
      <c r="G43" s="2">
        <v>4.4989999999999997</v>
      </c>
      <c r="H43" s="5">
        <f t="shared" si="0"/>
        <v>88.548820312499998</v>
      </c>
      <c r="I43" s="5">
        <f t="shared" si="1"/>
        <v>88.548820312499998</v>
      </c>
      <c r="K43" s="5">
        <v>-2.375</v>
      </c>
      <c r="L43" s="5">
        <v>74.607500000000002</v>
      </c>
      <c r="M43" s="5">
        <v>31.582000000000001</v>
      </c>
      <c r="N43" s="5">
        <v>2.8220000000000001</v>
      </c>
      <c r="O43" s="5">
        <f t="shared" si="2"/>
        <v>81.198632812499994</v>
      </c>
      <c r="P43" s="5">
        <f t="shared" si="3"/>
        <v>81.198632812499994</v>
      </c>
      <c r="R43" s="5">
        <v>19.399999999999999</v>
      </c>
      <c r="S43" s="5">
        <v>35.522500000000001</v>
      </c>
      <c r="T43" s="5">
        <v>34.915999999999997</v>
      </c>
      <c r="U43" s="2">
        <v>0.41060000000000002</v>
      </c>
      <c r="V43" s="5">
        <v>78</v>
      </c>
      <c r="W43" s="5">
        <v>78</v>
      </c>
      <c r="AA43" s="2"/>
      <c r="AJ43" s="4"/>
      <c r="AR43" s="4"/>
    </row>
    <row r="44" spans="4:44">
      <c r="D44" s="5">
        <v>-13.15</v>
      </c>
      <c r="E44" s="5">
        <v>151.18</v>
      </c>
      <c r="F44" s="5">
        <v>30.009</v>
      </c>
      <c r="G44" s="2">
        <v>4.4389999999999992</v>
      </c>
      <c r="H44" s="5">
        <f t="shared" si="0"/>
        <v>88.407781249999999</v>
      </c>
      <c r="I44" s="5">
        <f t="shared" si="1"/>
        <v>88.407781249999999</v>
      </c>
      <c r="K44" s="5">
        <v>-2.25</v>
      </c>
      <c r="L44" s="5">
        <v>74.075000000000003</v>
      </c>
      <c r="M44" s="5">
        <v>31.582000000000001</v>
      </c>
      <c r="N44" s="5">
        <v>2.7609999999999997</v>
      </c>
      <c r="O44" s="5">
        <f t="shared" si="2"/>
        <v>81.132031249999997</v>
      </c>
      <c r="P44" s="5">
        <f t="shared" si="3"/>
        <v>81.132031249999997</v>
      </c>
      <c r="R44" s="5">
        <v>19.7</v>
      </c>
      <c r="S44" s="5">
        <v>35.225000000000001</v>
      </c>
      <c r="T44" s="5">
        <v>34.915999999999997</v>
      </c>
      <c r="U44" s="2">
        <v>0.44500000000000001</v>
      </c>
      <c r="V44" s="5">
        <v>78</v>
      </c>
      <c r="W44" s="5">
        <v>78</v>
      </c>
      <c r="AA44" s="2"/>
      <c r="AJ44" s="4"/>
      <c r="AR44" s="4"/>
    </row>
    <row r="45" spans="4:44">
      <c r="D45" s="5">
        <v>-12.975</v>
      </c>
      <c r="E45" s="5">
        <v>150.80000000000001</v>
      </c>
      <c r="F45" s="5">
        <v>30.009</v>
      </c>
      <c r="G45" s="2">
        <v>4.3789999999999996</v>
      </c>
      <c r="H45" s="5">
        <f t="shared" si="0"/>
        <v>88.2675078125</v>
      </c>
      <c r="I45" s="5">
        <f t="shared" si="1"/>
        <v>88.2675078125</v>
      </c>
      <c r="K45" s="5">
        <v>-2.125</v>
      </c>
      <c r="L45" s="5">
        <v>73.542500000000004</v>
      </c>
      <c r="M45" s="5">
        <v>31.582000000000001</v>
      </c>
      <c r="N45" s="5">
        <v>2.6999999999999997</v>
      </c>
      <c r="O45" s="5">
        <f t="shared" si="2"/>
        <v>81.065820312499994</v>
      </c>
      <c r="P45" s="5">
        <f t="shared" si="3"/>
        <v>81.065820312499994</v>
      </c>
      <c r="R45" s="5">
        <v>20</v>
      </c>
      <c r="S45" s="5">
        <v>34.927500000000002</v>
      </c>
      <c r="T45" s="5">
        <v>34.915999999999997</v>
      </c>
      <c r="U45" s="2">
        <v>0.51</v>
      </c>
      <c r="V45" s="5">
        <v>78</v>
      </c>
      <c r="W45" s="5">
        <v>78</v>
      </c>
      <c r="AA45" s="2"/>
      <c r="AJ45" s="4"/>
      <c r="AR45" s="4"/>
    </row>
    <row r="46" spans="4:44">
      <c r="D46" s="5">
        <v>-12.8</v>
      </c>
      <c r="E46" s="5">
        <v>150.41999999999999</v>
      </c>
      <c r="F46" s="5">
        <v>30.009</v>
      </c>
      <c r="G46" s="2">
        <v>4.319</v>
      </c>
      <c r="H46" s="5">
        <f t="shared" si="0"/>
        <v>88.128</v>
      </c>
      <c r="I46" s="5">
        <f t="shared" si="1"/>
        <v>88.128</v>
      </c>
      <c r="K46" s="5">
        <v>-2</v>
      </c>
      <c r="L46" s="5">
        <v>73.010000000000005</v>
      </c>
      <c r="M46" s="5">
        <v>31.582000000000001</v>
      </c>
      <c r="N46" s="5">
        <v>2.6389999999999998</v>
      </c>
      <c r="O46" s="5">
        <f t="shared" si="2"/>
        <v>81</v>
      </c>
      <c r="P46" s="5">
        <f t="shared" si="3"/>
        <v>81</v>
      </c>
      <c r="R46" s="5">
        <v>20.3</v>
      </c>
      <c r="S46" s="5">
        <v>34.630000000000003</v>
      </c>
      <c r="T46" s="5">
        <v>34.915999999999997</v>
      </c>
      <c r="U46" s="2">
        <v>0.57499999999999996</v>
      </c>
      <c r="V46" s="5">
        <v>78</v>
      </c>
      <c r="W46" s="5">
        <v>78</v>
      </c>
      <c r="AA46" s="2"/>
      <c r="AJ46" s="4"/>
      <c r="AR46" s="4"/>
    </row>
    <row r="47" spans="4:44">
      <c r="D47" s="5">
        <v>-12.6</v>
      </c>
      <c r="E47" s="5">
        <v>152.20249999999999</v>
      </c>
      <c r="F47" s="5">
        <v>30.009</v>
      </c>
      <c r="G47" s="2">
        <v>4.2639999999999993</v>
      </c>
      <c r="H47" s="5">
        <f t="shared" si="0"/>
        <v>87.969499999999996</v>
      </c>
      <c r="I47" s="5">
        <f t="shared" si="1"/>
        <v>87.969499999999996</v>
      </c>
      <c r="K47" s="5">
        <v>-1.7749999999999999</v>
      </c>
      <c r="L47" s="5">
        <v>73.347499999999997</v>
      </c>
      <c r="M47" s="5">
        <v>31.582000000000001</v>
      </c>
      <c r="N47" s="5">
        <v>2.5924999999999998</v>
      </c>
      <c r="O47" s="5">
        <f t="shared" si="2"/>
        <v>80.882507812499995</v>
      </c>
      <c r="P47" s="5">
        <f t="shared" si="3"/>
        <v>80.882507812499995</v>
      </c>
      <c r="R47" s="5">
        <v>20.55</v>
      </c>
      <c r="S47" s="5">
        <v>34.225000000000001</v>
      </c>
      <c r="T47" s="5">
        <v>34.915999999999997</v>
      </c>
      <c r="U47" s="2">
        <v>0.61650000000000005</v>
      </c>
      <c r="V47" s="5">
        <v>78</v>
      </c>
      <c r="W47" s="5">
        <v>78</v>
      </c>
      <c r="AA47" s="2"/>
      <c r="AJ47" s="4"/>
      <c r="AR47" s="4"/>
    </row>
    <row r="48" spans="4:44">
      <c r="D48" s="5">
        <v>-12.4</v>
      </c>
      <c r="E48" s="5">
        <v>153.98500000000001</v>
      </c>
      <c r="F48" s="5">
        <v>30.009</v>
      </c>
      <c r="G48" s="2">
        <v>4.2089999999999996</v>
      </c>
      <c r="H48" s="5">
        <f t="shared" si="0"/>
        <v>87.811999999999998</v>
      </c>
      <c r="I48" s="5">
        <f t="shared" si="1"/>
        <v>87.811999999999998</v>
      </c>
      <c r="K48" s="5">
        <v>-1.55</v>
      </c>
      <c r="L48" s="5">
        <v>73.685000000000002</v>
      </c>
      <c r="M48" s="5">
        <v>31.582000000000001</v>
      </c>
      <c r="N48" s="5">
        <v>2.5459999999999998</v>
      </c>
      <c r="O48" s="5">
        <f t="shared" si="2"/>
        <v>80.766281250000006</v>
      </c>
      <c r="P48" s="5">
        <f t="shared" si="3"/>
        <v>80.766281250000006</v>
      </c>
      <c r="R48" s="5">
        <v>20.8</v>
      </c>
      <c r="S48" s="5">
        <v>33.82</v>
      </c>
      <c r="T48" s="5">
        <v>34.915999999999997</v>
      </c>
      <c r="U48" s="2">
        <v>0.65800000000000003</v>
      </c>
      <c r="V48" s="5">
        <v>78</v>
      </c>
      <c r="W48" s="5">
        <v>78</v>
      </c>
      <c r="AA48" s="2"/>
      <c r="AJ48" s="4"/>
      <c r="AR48" s="4"/>
    </row>
    <row r="49" spans="4:44">
      <c r="D49" s="5">
        <v>-12.2</v>
      </c>
      <c r="E49" s="5">
        <v>155.76750000000001</v>
      </c>
      <c r="F49" s="5">
        <v>30.009</v>
      </c>
      <c r="G49" s="2">
        <v>4.1539999999999999</v>
      </c>
      <c r="H49" s="5">
        <f t="shared" si="0"/>
        <v>87.655500000000004</v>
      </c>
      <c r="I49" s="5">
        <f t="shared" si="1"/>
        <v>87.655500000000004</v>
      </c>
      <c r="K49" s="5">
        <v>-1.325</v>
      </c>
      <c r="L49" s="5">
        <v>74.022500000000008</v>
      </c>
      <c r="M49" s="5">
        <v>31.582000000000001</v>
      </c>
      <c r="N49" s="5">
        <v>2.4994999999999998</v>
      </c>
      <c r="O49" s="5">
        <f t="shared" si="2"/>
        <v>80.651320312500005</v>
      </c>
      <c r="P49" s="5">
        <f t="shared" si="3"/>
        <v>80.651320312500005</v>
      </c>
      <c r="R49" s="5">
        <v>21.05</v>
      </c>
      <c r="S49" s="5">
        <v>33.414999999999999</v>
      </c>
      <c r="T49" s="5">
        <v>34.915999999999997</v>
      </c>
      <c r="U49" s="2">
        <v>0.69950000000000001</v>
      </c>
      <c r="V49" s="5">
        <v>78</v>
      </c>
      <c r="W49" s="5">
        <v>78</v>
      </c>
      <c r="AA49" s="2"/>
      <c r="AJ49" s="4"/>
      <c r="AR49" s="4"/>
    </row>
    <row r="50" spans="4:44">
      <c r="D50" s="5">
        <v>-12</v>
      </c>
      <c r="E50" s="5">
        <v>157.55000000000001</v>
      </c>
      <c r="F50" s="5">
        <v>30.009</v>
      </c>
      <c r="G50" s="2">
        <v>4.0990000000000002</v>
      </c>
      <c r="H50" s="5">
        <f t="shared" si="0"/>
        <v>87.5</v>
      </c>
      <c r="I50" s="5">
        <f t="shared" si="1"/>
        <v>87.5</v>
      </c>
      <c r="K50" s="5">
        <v>-1.1000000000000001</v>
      </c>
      <c r="L50" s="5">
        <v>74.36</v>
      </c>
      <c r="M50" s="5">
        <v>31.582000000000001</v>
      </c>
      <c r="N50" s="5">
        <v>2.4529999999999998</v>
      </c>
      <c r="O50" s="5">
        <f t="shared" si="2"/>
        <v>80.537625000000006</v>
      </c>
      <c r="P50" s="5">
        <f t="shared" si="3"/>
        <v>80.537625000000006</v>
      </c>
      <c r="R50" s="5">
        <v>21.3</v>
      </c>
      <c r="S50" s="5">
        <v>33.010000000000005</v>
      </c>
      <c r="T50" s="5">
        <v>34.915999999999997</v>
      </c>
      <c r="U50" s="2">
        <v>0.74099999999999999</v>
      </c>
      <c r="V50" s="5">
        <v>78</v>
      </c>
      <c r="W50" s="5">
        <v>78</v>
      </c>
      <c r="AA50" s="2"/>
      <c r="AJ50" s="4"/>
      <c r="AR50" s="4"/>
    </row>
    <row r="51" spans="4:44">
      <c r="D51" s="5">
        <v>-12</v>
      </c>
      <c r="E51" s="5">
        <v>163.595</v>
      </c>
      <c r="F51" s="5">
        <v>30.009</v>
      </c>
      <c r="G51" s="2">
        <v>4.1234999999999999</v>
      </c>
      <c r="H51" s="5">
        <f t="shared" si="0"/>
        <v>87.5</v>
      </c>
      <c r="I51" s="5">
        <f t="shared" si="1"/>
        <v>87.5</v>
      </c>
      <c r="K51" s="5">
        <v>-1.0249999999999999</v>
      </c>
      <c r="L51" s="5">
        <v>73.44</v>
      </c>
      <c r="M51" s="5">
        <v>31.582000000000001</v>
      </c>
      <c r="N51" s="5">
        <v>2.3987499999999997</v>
      </c>
      <c r="O51" s="5">
        <f t="shared" si="2"/>
        <v>80.500007812500002</v>
      </c>
      <c r="P51" s="5">
        <f t="shared" si="3"/>
        <v>80.500007812500002</v>
      </c>
      <c r="R51" s="5">
        <v>21.4</v>
      </c>
      <c r="S51" s="5">
        <v>32.599999999999994</v>
      </c>
      <c r="T51" s="5">
        <v>34.915999999999997</v>
      </c>
      <c r="U51" s="2">
        <v>0.74099999999999999</v>
      </c>
      <c r="V51" s="5">
        <v>78</v>
      </c>
      <c r="W51" s="5">
        <v>78</v>
      </c>
      <c r="AA51" s="2"/>
      <c r="AJ51" s="4"/>
      <c r="AR51" s="4"/>
    </row>
    <row r="52" spans="4:44">
      <c r="D52" s="5">
        <v>-12</v>
      </c>
      <c r="E52" s="5">
        <v>169.64</v>
      </c>
      <c r="F52" s="5">
        <v>30.009</v>
      </c>
      <c r="G52" s="2">
        <v>4.1479999999999997</v>
      </c>
      <c r="H52" s="5">
        <f t="shared" si="0"/>
        <v>87.5</v>
      </c>
      <c r="I52" s="5">
        <f t="shared" si="1"/>
        <v>87.5</v>
      </c>
      <c r="K52" s="5">
        <v>-0.95000000000000007</v>
      </c>
      <c r="L52" s="5">
        <v>72.52</v>
      </c>
      <c r="M52" s="5">
        <v>31.582000000000001</v>
      </c>
      <c r="N52" s="5">
        <v>2.3444999999999996</v>
      </c>
      <c r="O52" s="5">
        <f t="shared" si="2"/>
        <v>80.462531249999998</v>
      </c>
      <c r="P52" s="5">
        <f t="shared" si="3"/>
        <v>80.462531249999998</v>
      </c>
      <c r="R52" s="5">
        <v>21.5</v>
      </c>
      <c r="S52" s="5">
        <v>32.19</v>
      </c>
      <c r="T52" s="5">
        <v>34.915999999999997</v>
      </c>
      <c r="U52" s="2">
        <v>0.74099999999999999</v>
      </c>
      <c r="V52" s="5">
        <v>78</v>
      </c>
      <c r="W52" s="5">
        <v>78</v>
      </c>
      <c r="AA52" s="2"/>
      <c r="AJ52" s="4"/>
      <c r="AR52" s="4"/>
    </row>
    <row r="53" spans="4:44">
      <c r="D53" s="5">
        <v>-12</v>
      </c>
      <c r="E53" s="5">
        <v>175.685</v>
      </c>
      <c r="F53" s="5">
        <v>30.009</v>
      </c>
      <c r="G53" s="2">
        <v>4.1724999999999994</v>
      </c>
      <c r="H53" s="5">
        <f t="shared" si="0"/>
        <v>87.5</v>
      </c>
      <c r="I53" s="5">
        <f t="shared" si="1"/>
        <v>87.5</v>
      </c>
      <c r="K53" s="5">
        <v>-0.875</v>
      </c>
      <c r="L53" s="5">
        <v>71.599999999999994</v>
      </c>
      <c r="M53" s="5">
        <v>31.582000000000001</v>
      </c>
      <c r="N53" s="5">
        <v>2.2902499999999999</v>
      </c>
      <c r="O53" s="5">
        <f t="shared" si="2"/>
        <v>80.425195312499994</v>
      </c>
      <c r="P53" s="5">
        <f t="shared" si="3"/>
        <v>80.425195312499994</v>
      </c>
      <c r="R53" s="5">
        <v>21.6</v>
      </c>
      <c r="S53" s="5">
        <v>31.78</v>
      </c>
      <c r="T53" s="5">
        <v>34.915999999999997</v>
      </c>
      <c r="U53" s="2">
        <v>0.74099999999999999</v>
      </c>
      <c r="V53" s="5">
        <v>78</v>
      </c>
      <c r="W53" s="5">
        <v>78</v>
      </c>
      <c r="AA53" s="2"/>
      <c r="AJ53" s="4"/>
      <c r="AR53" s="4"/>
    </row>
    <row r="54" spans="4:44">
      <c r="D54" s="5">
        <v>-12</v>
      </c>
      <c r="E54" s="5">
        <v>181.73</v>
      </c>
      <c r="F54" s="5">
        <v>30.009</v>
      </c>
      <c r="G54" s="2">
        <v>4.1970000000000001</v>
      </c>
      <c r="H54" s="5">
        <f t="shared" si="0"/>
        <v>87.5</v>
      </c>
      <c r="I54" s="5">
        <f t="shared" si="1"/>
        <v>87.5</v>
      </c>
      <c r="K54" s="5">
        <v>-0.8</v>
      </c>
      <c r="L54" s="5">
        <v>70.679999999999993</v>
      </c>
      <c r="M54" s="5">
        <v>31.582000000000001</v>
      </c>
      <c r="N54" s="5">
        <v>2.2359999999999998</v>
      </c>
      <c r="O54" s="5">
        <f t="shared" si="2"/>
        <v>80.388000000000005</v>
      </c>
      <c r="P54" s="5">
        <f t="shared" si="3"/>
        <v>80.388000000000005</v>
      </c>
      <c r="R54" s="5">
        <v>21.7</v>
      </c>
      <c r="S54" s="5">
        <v>31.37</v>
      </c>
      <c r="T54" s="5">
        <v>34.915999999999997</v>
      </c>
      <c r="U54" s="2">
        <v>0.74099999999999999</v>
      </c>
      <c r="V54" s="5">
        <v>78</v>
      </c>
      <c r="W54" s="5">
        <v>78</v>
      </c>
      <c r="AA54" s="2"/>
      <c r="AJ54" s="4"/>
      <c r="AR54" s="4"/>
    </row>
    <row r="55" spans="4:44">
      <c r="D55" s="5">
        <v>-11.95</v>
      </c>
      <c r="E55" s="5">
        <v>172.96500000000003</v>
      </c>
      <c r="F55" s="5">
        <v>30.009</v>
      </c>
      <c r="G55" s="2">
        <v>4.1555</v>
      </c>
      <c r="H55" s="5">
        <f t="shared" si="0"/>
        <v>87.461281249999999</v>
      </c>
      <c r="I55" s="5">
        <f t="shared" si="1"/>
        <v>87.461281249999999</v>
      </c>
      <c r="K55" s="5">
        <v>-0.8</v>
      </c>
      <c r="L55" s="5">
        <v>72.847499999999997</v>
      </c>
      <c r="M55" s="5">
        <v>31.582000000000001</v>
      </c>
      <c r="N55" s="5">
        <v>2.2889999999999997</v>
      </c>
      <c r="O55" s="5">
        <f t="shared" si="2"/>
        <v>80.388000000000005</v>
      </c>
      <c r="P55" s="5">
        <f t="shared" si="3"/>
        <v>80.388000000000005</v>
      </c>
      <c r="R55" s="5">
        <v>21.725000000000001</v>
      </c>
      <c r="S55" s="5">
        <v>31.265000000000001</v>
      </c>
      <c r="T55" s="5">
        <v>34.915999999999997</v>
      </c>
      <c r="U55" s="2">
        <v>0.74075000000000002</v>
      </c>
      <c r="V55" s="5">
        <v>78</v>
      </c>
      <c r="W55" s="5">
        <v>78</v>
      </c>
      <c r="AA55" s="2"/>
      <c r="AJ55" s="4"/>
      <c r="AR55" s="4"/>
    </row>
    <row r="56" spans="4:44">
      <c r="D56" s="5">
        <v>-11.9</v>
      </c>
      <c r="E56" s="5">
        <v>164.20000000000002</v>
      </c>
      <c r="F56" s="5">
        <v>30.009</v>
      </c>
      <c r="G56" s="2">
        <v>4.1139999999999999</v>
      </c>
      <c r="H56" s="5">
        <f t="shared" si="0"/>
        <v>87.422624999999996</v>
      </c>
      <c r="I56" s="5">
        <f t="shared" si="1"/>
        <v>87.422624999999996</v>
      </c>
      <c r="K56" s="5">
        <v>-0.8</v>
      </c>
      <c r="L56" s="5">
        <v>75.015000000000001</v>
      </c>
      <c r="M56" s="5">
        <v>31.582000000000001</v>
      </c>
      <c r="N56" s="5">
        <v>2.3420000000000001</v>
      </c>
      <c r="O56" s="5">
        <f t="shared" si="2"/>
        <v>80.388000000000005</v>
      </c>
      <c r="P56" s="5">
        <f t="shared" si="3"/>
        <v>80.388000000000005</v>
      </c>
      <c r="R56" s="5">
        <v>21.75</v>
      </c>
      <c r="S56" s="5">
        <v>31.16</v>
      </c>
      <c r="T56" s="5">
        <v>34.915999999999997</v>
      </c>
      <c r="U56" s="2">
        <v>0.74050000000000005</v>
      </c>
      <c r="V56" s="5">
        <v>78</v>
      </c>
      <c r="W56" s="5">
        <v>78</v>
      </c>
      <c r="AA56" s="2"/>
      <c r="AJ56" s="4"/>
      <c r="AR56" s="4"/>
    </row>
    <row r="57" spans="4:44">
      <c r="D57" s="5">
        <v>-11.85</v>
      </c>
      <c r="E57" s="5">
        <v>155.435</v>
      </c>
      <c r="F57" s="5">
        <v>30.009</v>
      </c>
      <c r="G57" s="2">
        <v>4.0724999999999998</v>
      </c>
      <c r="H57" s="5">
        <f t="shared" si="0"/>
        <v>87.384031249999992</v>
      </c>
      <c r="I57" s="5">
        <f t="shared" si="1"/>
        <v>87.384031249999992</v>
      </c>
      <c r="K57" s="5">
        <v>-0.8</v>
      </c>
      <c r="L57" s="5">
        <v>77.18249999999999</v>
      </c>
      <c r="M57" s="5">
        <v>31.582000000000001</v>
      </c>
      <c r="N57" s="5">
        <v>2.395</v>
      </c>
      <c r="O57" s="5">
        <f t="shared" si="2"/>
        <v>80.388000000000005</v>
      </c>
      <c r="P57" s="5">
        <f t="shared" si="3"/>
        <v>80.388000000000005</v>
      </c>
      <c r="R57" s="5">
        <v>21.774999999999999</v>
      </c>
      <c r="S57" s="5">
        <v>31.055</v>
      </c>
      <c r="T57" s="5">
        <v>34.915999999999997</v>
      </c>
      <c r="U57" s="2">
        <v>0.74024999999999996</v>
      </c>
      <c r="V57" s="5">
        <v>78</v>
      </c>
      <c r="W57" s="5">
        <v>78</v>
      </c>
      <c r="AA57" s="2"/>
      <c r="AJ57" s="4"/>
      <c r="AR57" s="4"/>
    </row>
    <row r="58" spans="4:44">
      <c r="D58" s="5">
        <v>-11.8</v>
      </c>
      <c r="E58" s="5">
        <v>146.66999999999999</v>
      </c>
      <c r="F58" s="5">
        <v>30.009</v>
      </c>
      <c r="G58" s="2">
        <v>4.0309999999999997</v>
      </c>
      <c r="H58" s="5">
        <f t="shared" si="0"/>
        <v>87.345500000000001</v>
      </c>
      <c r="I58" s="5">
        <f t="shared" si="1"/>
        <v>87.345500000000001</v>
      </c>
      <c r="K58" s="5">
        <v>-0.8</v>
      </c>
      <c r="L58" s="5">
        <v>79.349999999999994</v>
      </c>
      <c r="M58" s="5">
        <v>31.582000000000001</v>
      </c>
      <c r="N58" s="5">
        <v>2.448</v>
      </c>
      <c r="O58" s="5">
        <f t="shared" si="2"/>
        <v>80.388000000000005</v>
      </c>
      <c r="P58" s="5">
        <f t="shared" si="3"/>
        <v>80.388000000000005</v>
      </c>
      <c r="R58" s="5">
        <v>21.8</v>
      </c>
      <c r="S58" s="5">
        <v>30.950000000000003</v>
      </c>
      <c r="T58" s="5">
        <v>34.915999999999997</v>
      </c>
      <c r="U58" s="2">
        <v>0.74</v>
      </c>
      <c r="V58" s="5">
        <v>78</v>
      </c>
      <c r="W58" s="5">
        <v>78</v>
      </c>
      <c r="AA58" s="2"/>
      <c r="AJ58" s="4"/>
      <c r="AR58" s="4"/>
    </row>
    <row r="59" spans="4:44">
      <c r="D59" s="5">
        <v>-11.775</v>
      </c>
      <c r="E59" s="5">
        <v>149.1825</v>
      </c>
      <c r="F59" s="5">
        <v>30.009</v>
      </c>
      <c r="G59" s="2">
        <v>4.03125</v>
      </c>
      <c r="H59" s="5">
        <f t="shared" si="0"/>
        <v>87.326257812500003</v>
      </c>
      <c r="I59" s="5">
        <f t="shared" si="1"/>
        <v>87.326257812500003</v>
      </c>
      <c r="K59" s="5">
        <v>-0.8</v>
      </c>
      <c r="L59" s="5">
        <v>83.885000000000005</v>
      </c>
      <c r="M59" s="5">
        <v>31.582000000000001</v>
      </c>
      <c r="N59" s="5">
        <v>2.4557499999999997</v>
      </c>
      <c r="O59" s="5">
        <f t="shared" si="2"/>
        <v>80.388000000000005</v>
      </c>
      <c r="P59" s="5">
        <f t="shared" si="3"/>
        <v>80.388000000000005</v>
      </c>
      <c r="R59" s="5">
        <v>22.125</v>
      </c>
      <c r="S59" s="5">
        <v>30.747499999999999</v>
      </c>
      <c r="T59" s="5">
        <v>34.915999999999997</v>
      </c>
      <c r="U59" s="2">
        <v>0.74199999999999999</v>
      </c>
      <c r="V59" s="5">
        <v>78</v>
      </c>
      <c r="W59" s="5">
        <v>78</v>
      </c>
      <c r="AA59" s="2"/>
      <c r="AJ59" s="4"/>
      <c r="AR59" s="4"/>
    </row>
    <row r="60" spans="4:44">
      <c r="D60" s="5">
        <v>-11.75</v>
      </c>
      <c r="E60" s="5">
        <v>151.69499999999999</v>
      </c>
      <c r="F60" s="5">
        <v>30.009</v>
      </c>
      <c r="G60" s="2">
        <v>4.0314999999999994</v>
      </c>
      <c r="H60" s="5">
        <f t="shared" si="0"/>
        <v>87.307031249999994</v>
      </c>
      <c r="I60" s="5">
        <f t="shared" si="1"/>
        <v>87.307031249999994</v>
      </c>
      <c r="K60" s="5">
        <v>-0.8</v>
      </c>
      <c r="L60" s="5">
        <v>88.42</v>
      </c>
      <c r="M60" s="5">
        <v>31.582000000000001</v>
      </c>
      <c r="N60" s="5">
        <v>2.4634999999999998</v>
      </c>
      <c r="O60" s="5">
        <f t="shared" si="2"/>
        <v>80.388000000000005</v>
      </c>
      <c r="P60" s="5">
        <f t="shared" si="3"/>
        <v>80.388000000000005</v>
      </c>
      <c r="R60" s="5">
        <v>22.45</v>
      </c>
      <c r="S60" s="5">
        <v>30.545000000000002</v>
      </c>
      <c r="T60" s="5">
        <v>34.915999999999997</v>
      </c>
      <c r="U60" s="2">
        <v>0.74399999999999999</v>
      </c>
      <c r="V60" s="5">
        <v>78</v>
      </c>
      <c r="W60" s="5">
        <v>78</v>
      </c>
      <c r="AA60" s="2"/>
      <c r="AJ60" s="4"/>
      <c r="AR60" s="4"/>
    </row>
    <row r="61" spans="4:44">
      <c r="D61" s="5">
        <v>-11.725</v>
      </c>
      <c r="E61" s="5">
        <v>154.20750000000001</v>
      </c>
      <c r="F61" s="5">
        <v>30.009</v>
      </c>
      <c r="G61" s="2">
        <v>4.0317499999999997</v>
      </c>
      <c r="H61" s="5">
        <f t="shared" si="0"/>
        <v>87.287820312500003</v>
      </c>
      <c r="I61" s="5">
        <f t="shared" si="1"/>
        <v>87.287820312500003</v>
      </c>
      <c r="K61" s="5">
        <v>-0.8</v>
      </c>
      <c r="L61" s="5">
        <v>92.955000000000013</v>
      </c>
      <c r="M61" s="5">
        <v>31.582000000000001</v>
      </c>
      <c r="N61" s="5">
        <v>2.4712499999999999</v>
      </c>
      <c r="O61" s="5">
        <f t="shared" si="2"/>
        <v>80.388000000000005</v>
      </c>
      <c r="P61" s="5">
        <f t="shared" si="3"/>
        <v>80.388000000000005</v>
      </c>
      <c r="R61" s="5">
        <v>22.774999999999999</v>
      </c>
      <c r="S61" s="5">
        <v>30.342500000000001</v>
      </c>
      <c r="T61" s="5">
        <v>34.915999999999997</v>
      </c>
      <c r="U61" s="2">
        <v>0.746</v>
      </c>
      <c r="V61" s="5">
        <v>78</v>
      </c>
      <c r="W61" s="5">
        <v>78</v>
      </c>
      <c r="AA61" s="2"/>
      <c r="AJ61" s="4"/>
      <c r="AR61" s="4"/>
    </row>
    <row r="62" spans="4:44">
      <c r="D62" s="5">
        <v>-11.7</v>
      </c>
      <c r="E62" s="5">
        <v>156.72</v>
      </c>
      <c r="F62" s="5">
        <v>30.009</v>
      </c>
      <c r="G62" s="2">
        <v>4.032</v>
      </c>
      <c r="H62" s="5">
        <f t="shared" si="0"/>
        <v>87.268625</v>
      </c>
      <c r="I62" s="5">
        <f t="shared" si="1"/>
        <v>87.268625</v>
      </c>
      <c r="K62" s="5">
        <v>-0.8</v>
      </c>
      <c r="L62" s="5">
        <v>97.490000000000009</v>
      </c>
      <c r="M62" s="5">
        <v>31.582000000000001</v>
      </c>
      <c r="N62" s="5">
        <v>2.4789999999999996</v>
      </c>
      <c r="O62" s="5">
        <f t="shared" si="2"/>
        <v>80.388000000000005</v>
      </c>
      <c r="P62" s="5">
        <f t="shared" si="3"/>
        <v>80.388000000000005</v>
      </c>
      <c r="R62" s="5">
        <v>23.1</v>
      </c>
      <c r="S62" s="5">
        <v>30.139999999999997</v>
      </c>
      <c r="T62" s="5">
        <v>34.915999999999997</v>
      </c>
      <c r="U62" s="2">
        <v>0.748</v>
      </c>
      <c r="V62" s="5">
        <v>78</v>
      </c>
      <c r="W62" s="5">
        <v>78</v>
      </c>
      <c r="AA62" s="2"/>
      <c r="AJ62" s="4"/>
      <c r="AR62" s="4"/>
    </row>
    <row r="63" spans="4:44">
      <c r="D63" s="5">
        <v>-11.775</v>
      </c>
      <c r="E63" s="5">
        <v>164.29500000000002</v>
      </c>
      <c r="F63" s="5">
        <v>30.009</v>
      </c>
      <c r="G63" s="2">
        <v>4.0672499999999996</v>
      </c>
      <c r="H63" s="5">
        <f t="shared" si="0"/>
        <v>87.326257812500003</v>
      </c>
      <c r="I63" s="5">
        <f t="shared" si="1"/>
        <v>87.326257812500003</v>
      </c>
      <c r="K63" s="5">
        <v>-0.75</v>
      </c>
      <c r="L63" s="5">
        <v>97.922500000000014</v>
      </c>
      <c r="M63" s="5">
        <v>31.582000000000001</v>
      </c>
      <c r="N63" s="5">
        <v>2.4764999999999997</v>
      </c>
      <c r="O63" s="5">
        <f t="shared" si="2"/>
        <v>80.36328125</v>
      </c>
      <c r="P63" s="5">
        <f t="shared" si="3"/>
        <v>80.36328125</v>
      </c>
      <c r="R63" s="5">
        <v>22.925000000000001</v>
      </c>
      <c r="S63" s="5">
        <v>29.465</v>
      </c>
      <c r="T63" s="5">
        <v>34.915999999999997</v>
      </c>
      <c r="U63" s="2">
        <v>0.76949999999999996</v>
      </c>
      <c r="V63" s="5">
        <v>78</v>
      </c>
      <c r="W63" s="5">
        <v>78</v>
      </c>
      <c r="AA63" s="2"/>
      <c r="AJ63" s="4"/>
      <c r="AR63" s="4"/>
    </row>
    <row r="64" spans="4:44">
      <c r="D64" s="5">
        <v>-11.85</v>
      </c>
      <c r="E64" s="5">
        <v>171.87</v>
      </c>
      <c r="F64" s="5">
        <v>30.009</v>
      </c>
      <c r="G64" s="2">
        <v>4.1025</v>
      </c>
      <c r="H64" s="5">
        <f t="shared" si="0"/>
        <v>87.384031249999992</v>
      </c>
      <c r="I64" s="5">
        <f t="shared" si="1"/>
        <v>87.384031249999992</v>
      </c>
      <c r="K64" s="5">
        <v>-0.7</v>
      </c>
      <c r="L64" s="5">
        <v>98.35499999999999</v>
      </c>
      <c r="M64" s="5">
        <v>31.582000000000001</v>
      </c>
      <c r="N64" s="5">
        <v>2.4739999999999998</v>
      </c>
      <c r="O64" s="5">
        <f t="shared" si="2"/>
        <v>80.338624999999993</v>
      </c>
      <c r="P64" s="5">
        <f t="shared" si="3"/>
        <v>80.338624999999993</v>
      </c>
      <c r="R64" s="5">
        <v>22.75</v>
      </c>
      <c r="S64" s="5">
        <v>28.79</v>
      </c>
      <c r="T64" s="5">
        <v>34.915999999999997</v>
      </c>
      <c r="U64" s="2">
        <v>0.79100000000000004</v>
      </c>
      <c r="V64" s="5">
        <v>78</v>
      </c>
      <c r="W64" s="5">
        <v>78</v>
      </c>
      <c r="AA64" s="2"/>
      <c r="AJ64" s="4"/>
      <c r="AR64" s="4"/>
    </row>
    <row r="65" spans="4:44">
      <c r="D65" s="5">
        <v>-11.925000000000001</v>
      </c>
      <c r="E65" s="5">
        <v>179.44500000000002</v>
      </c>
      <c r="F65" s="5">
        <v>30.009</v>
      </c>
      <c r="G65" s="2">
        <v>4.1377499999999996</v>
      </c>
      <c r="H65" s="5">
        <f t="shared" si="0"/>
        <v>87.441945312499996</v>
      </c>
      <c r="I65" s="5">
        <f t="shared" si="1"/>
        <v>87.441945312499996</v>
      </c>
      <c r="K65" s="5">
        <v>-0.65</v>
      </c>
      <c r="L65" s="5">
        <v>98.787499999999994</v>
      </c>
      <c r="M65" s="5">
        <v>31.582000000000001</v>
      </c>
      <c r="N65" s="5">
        <v>2.4714999999999998</v>
      </c>
      <c r="O65" s="5">
        <f t="shared" si="2"/>
        <v>80.314031249999999</v>
      </c>
      <c r="P65" s="5">
        <f t="shared" si="3"/>
        <v>80.314031249999999</v>
      </c>
      <c r="R65" s="5">
        <v>22.574999999999999</v>
      </c>
      <c r="S65" s="5">
        <v>28.115000000000002</v>
      </c>
      <c r="T65" s="5">
        <v>34.915999999999997</v>
      </c>
      <c r="U65" s="2">
        <v>0.8125</v>
      </c>
      <c r="V65" s="5">
        <v>78</v>
      </c>
      <c r="W65" s="5">
        <v>78</v>
      </c>
      <c r="AA65" s="2"/>
      <c r="AJ65" s="4"/>
      <c r="AR65" s="4"/>
    </row>
    <row r="66" spans="4:44">
      <c r="D66" s="5">
        <v>-12</v>
      </c>
      <c r="E66" s="5">
        <v>187.02</v>
      </c>
      <c r="F66" s="5">
        <v>30.009</v>
      </c>
      <c r="G66" s="2">
        <v>4.173</v>
      </c>
      <c r="H66" s="5">
        <f t="shared" si="0"/>
        <v>87.5</v>
      </c>
      <c r="I66" s="5">
        <f t="shared" si="1"/>
        <v>87.5</v>
      </c>
      <c r="K66" s="5">
        <v>-0.6</v>
      </c>
      <c r="L66" s="5">
        <v>99.22</v>
      </c>
      <c r="M66" s="5">
        <v>31.582000000000001</v>
      </c>
      <c r="N66" s="5">
        <v>2.4689999999999999</v>
      </c>
      <c r="O66" s="5">
        <f t="shared" si="2"/>
        <v>80.289500000000004</v>
      </c>
      <c r="P66" s="5">
        <f t="shared" si="3"/>
        <v>80.289500000000004</v>
      </c>
      <c r="R66" s="5">
        <v>22.4</v>
      </c>
      <c r="S66" s="5">
        <v>27.44</v>
      </c>
      <c r="T66" s="5">
        <v>34.915999999999997</v>
      </c>
      <c r="U66" s="2">
        <v>0.83399999999999996</v>
      </c>
      <c r="V66" s="5">
        <v>78</v>
      </c>
      <c r="W66" s="5">
        <v>78</v>
      </c>
      <c r="AA66" s="2"/>
      <c r="AJ66" s="4"/>
      <c r="AR66" s="4"/>
    </row>
    <row r="67" spans="4:44">
      <c r="D67" s="5">
        <v>-12.2</v>
      </c>
      <c r="E67" s="5">
        <v>180.75</v>
      </c>
      <c r="F67" s="5">
        <v>30.009</v>
      </c>
      <c r="G67" s="2">
        <v>4.2084999999999999</v>
      </c>
      <c r="H67" s="5">
        <f t="shared" ref="H67:H130" si="4">IF(D67&lt;0,0.0125*D67^2-0.475*D67+80,80)</f>
        <v>87.655500000000004</v>
      </c>
      <c r="I67" s="5">
        <f t="shared" ref="I67:I130" si="5">IF(H67&lt;90,H67,90)</f>
        <v>87.655500000000004</v>
      </c>
      <c r="K67" s="5">
        <v>-0.52500000000000002</v>
      </c>
      <c r="L67" s="5">
        <v>100.15</v>
      </c>
      <c r="M67" s="5">
        <v>31.582000000000001</v>
      </c>
      <c r="N67" s="5">
        <v>2.4295</v>
      </c>
      <c r="O67" s="5">
        <f t="shared" ref="O67:O130" si="6">IF(K67&lt;0,0.0125*K67^2-0.475*K67+80,780)</f>
        <v>80.252820312500006</v>
      </c>
      <c r="P67" s="5">
        <f t="shared" ref="P67:P130" si="7">IF(O67&lt;90,O67,90)</f>
        <v>80.252820312500006</v>
      </c>
      <c r="R67" s="5">
        <v>22.4</v>
      </c>
      <c r="S67" s="5">
        <v>27.995000000000001</v>
      </c>
      <c r="T67" s="5">
        <v>34.915999999999997</v>
      </c>
      <c r="U67" s="2">
        <v>0.78049999999999997</v>
      </c>
      <c r="V67" s="5">
        <v>78</v>
      </c>
      <c r="W67" s="5">
        <v>78</v>
      </c>
      <c r="AA67" s="2"/>
      <c r="AJ67" s="4"/>
      <c r="AR67" s="4"/>
    </row>
    <row r="68" spans="4:44">
      <c r="D68" s="5">
        <v>-12.4</v>
      </c>
      <c r="E68" s="5">
        <v>174.48000000000002</v>
      </c>
      <c r="F68" s="5">
        <v>30.009</v>
      </c>
      <c r="G68" s="2">
        <v>4.2439999999999998</v>
      </c>
      <c r="H68" s="5">
        <f t="shared" si="4"/>
        <v>87.811999999999998</v>
      </c>
      <c r="I68" s="5">
        <f t="shared" si="5"/>
        <v>87.811999999999998</v>
      </c>
      <c r="K68" s="5">
        <v>-0.45</v>
      </c>
      <c r="L68" s="5">
        <v>101.08000000000001</v>
      </c>
      <c r="M68" s="5">
        <v>31.582000000000001</v>
      </c>
      <c r="N68" s="5">
        <v>2.39</v>
      </c>
      <c r="O68" s="5">
        <f t="shared" si="6"/>
        <v>80.216281249999994</v>
      </c>
      <c r="P68" s="5">
        <f t="shared" si="7"/>
        <v>80.216281249999994</v>
      </c>
      <c r="R68" s="5">
        <v>22.4</v>
      </c>
      <c r="S68" s="5">
        <v>28.55</v>
      </c>
      <c r="T68" s="5">
        <v>34.915999999999997</v>
      </c>
      <c r="U68" s="2">
        <v>0.72699999999999998</v>
      </c>
      <c r="V68" s="5">
        <v>78</v>
      </c>
      <c r="W68" s="5">
        <v>78</v>
      </c>
      <c r="AA68" s="2"/>
      <c r="AJ68" s="4"/>
      <c r="AR68" s="4"/>
    </row>
    <row r="69" spans="4:44">
      <c r="D69" s="5">
        <v>-12.6</v>
      </c>
      <c r="E69" s="5">
        <v>168.21</v>
      </c>
      <c r="F69" s="5">
        <v>30.009</v>
      </c>
      <c r="G69" s="2">
        <v>4.2794999999999996</v>
      </c>
      <c r="H69" s="5">
        <f t="shared" si="4"/>
        <v>87.969499999999996</v>
      </c>
      <c r="I69" s="5">
        <f t="shared" si="5"/>
        <v>87.969499999999996</v>
      </c>
      <c r="K69" s="5">
        <v>-0.375</v>
      </c>
      <c r="L69" s="5">
        <v>102.01</v>
      </c>
      <c r="M69" s="5">
        <v>31.582000000000001</v>
      </c>
      <c r="N69" s="5">
        <v>2.3504999999999998</v>
      </c>
      <c r="O69" s="5">
        <f t="shared" si="6"/>
        <v>80.179882812499997</v>
      </c>
      <c r="P69" s="5">
        <f t="shared" si="7"/>
        <v>80.179882812499997</v>
      </c>
      <c r="R69" s="5">
        <v>22.4</v>
      </c>
      <c r="S69" s="5">
        <v>29.104999999999997</v>
      </c>
      <c r="T69" s="5">
        <v>34.915999999999997</v>
      </c>
      <c r="U69" s="2">
        <v>0.67349999999999999</v>
      </c>
      <c r="V69" s="5">
        <v>78</v>
      </c>
      <c r="W69" s="5">
        <v>78</v>
      </c>
      <c r="AA69" s="2"/>
      <c r="AJ69" s="4"/>
      <c r="AR69" s="4"/>
    </row>
    <row r="70" spans="4:44">
      <c r="D70" s="5">
        <v>-12.8</v>
      </c>
      <c r="E70" s="5">
        <v>161.94</v>
      </c>
      <c r="F70" s="5">
        <v>30.009</v>
      </c>
      <c r="G70" s="2">
        <v>4.3149999999999995</v>
      </c>
      <c r="H70" s="5">
        <f t="shared" si="4"/>
        <v>88.128</v>
      </c>
      <c r="I70" s="5">
        <f t="shared" si="5"/>
        <v>88.128</v>
      </c>
      <c r="K70" s="5">
        <v>-0.3</v>
      </c>
      <c r="L70" s="5">
        <v>102.94</v>
      </c>
      <c r="M70" s="5">
        <v>31.582000000000001</v>
      </c>
      <c r="N70" s="5">
        <v>2.3109999999999999</v>
      </c>
      <c r="O70" s="5">
        <f t="shared" si="6"/>
        <v>80.143625</v>
      </c>
      <c r="P70" s="5">
        <f t="shared" si="7"/>
        <v>80.143625</v>
      </c>
      <c r="R70" s="5">
        <v>22.4</v>
      </c>
      <c r="S70" s="5">
        <v>29.660000000000004</v>
      </c>
      <c r="T70" s="5">
        <v>34.915999999999997</v>
      </c>
      <c r="U70" s="2">
        <v>0.62</v>
      </c>
      <c r="V70" s="5">
        <v>78</v>
      </c>
      <c r="W70" s="5">
        <v>78</v>
      </c>
      <c r="AA70" s="2"/>
      <c r="AJ70" s="4"/>
      <c r="AR70" s="4"/>
    </row>
    <row r="71" spans="4:44">
      <c r="D71" s="5">
        <v>-13.324999999999999</v>
      </c>
      <c r="E71" s="5">
        <v>163.02499999999998</v>
      </c>
      <c r="F71" s="5">
        <v>30.009</v>
      </c>
      <c r="G71" s="2">
        <v>4.3242500000000001</v>
      </c>
      <c r="H71" s="5">
        <f t="shared" si="4"/>
        <v>88.548820312499998</v>
      </c>
      <c r="I71" s="5">
        <f t="shared" si="5"/>
        <v>88.548820312499998</v>
      </c>
      <c r="K71" s="5">
        <v>-0.3</v>
      </c>
      <c r="L71" s="5">
        <v>105.095</v>
      </c>
      <c r="M71" s="5">
        <v>31.582000000000001</v>
      </c>
      <c r="N71" s="5">
        <v>2.3122500000000001</v>
      </c>
      <c r="O71" s="5">
        <f t="shared" si="6"/>
        <v>80.143625</v>
      </c>
      <c r="P71" s="5">
        <f t="shared" si="7"/>
        <v>80.143625</v>
      </c>
      <c r="R71" s="5">
        <v>22.5</v>
      </c>
      <c r="S71" s="5">
        <v>30.127500000000001</v>
      </c>
      <c r="T71" s="5">
        <v>34.915999999999997</v>
      </c>
      <c r="U71" s="2">
        <v>0.64224999999999999</v>
      </c>
      <c r="V71" s="5">
        <v>78</v>
      </c>
      <c r="W71" s="5">
        <v>78</v>
      </c>
      <c r="AA71" s="2"/>
      <c r="AJ71" s="4"/>
      <c r="AR71" s="4"/>
    </row>
    <row r="72" spans="4:44">
      <c r="D72" s="5">
        <v>-13.85</v>
      </c>
      <c r="E72" s="5">
        <v>164.11</v>
      </c>
      <c r="F72" s="5">
        <v>30.009</v>
      </c>
      <c r="G72" s="2">
        <v>4.3334999999999999</v>
      </c>
      <c r="H72" s="5">
        <f t="shared" si="4"/>
        <v>88.976531249999994</v>
      </c>
      <c r="I72" s="5">
        <f t="shared" si="5"/>
        <v>88.976531249999994</v>
      </c>
      <c r="K72" s="5">
        <v>-0.3</v>
      </c>
      <c r="L72" s="5">
        <v>107.25</v>
      </c>
      <c r="M72" s="5">
        <v>31.582000000000001</v>
      </c>
      <c r="N72" s="5">
        <v>2.3134999999999999</v>
      </c>
      <c r="O72" s="5">
        <f t="shared" si="6"/>
        <v>80.143625</v>
      </c>
      <c r="P72" s="5">
        <f t="shared" si="7"/>
        <v>80.143625</v>
      </c>
      <c r="R72" s="5">
        <v>22.6</v>
      </c>
      <c r="S72" s="5">
        <v>30.594999999999999</v>
      </c>
      <c r="T72" s="5">
        <v>34.915999999999997</v>
      </c>
      <c r="U72" s="2">
        <v>0.66449999999999998</v>
      </c>
      <c r="V72" s="5">
        <v>78</v>
      </c>
      <c r="W72" s="5">
        <v>78</v>
      </c>
      <c r="AA72" s="2"/>
      <c r="AJ72" s="4"/>
      <c r="AR72" s="4"/>
    </row>
    <row r="73" spans="4:44">
      <c r="D73" s="5">
        <v>-14.375</v>
      </c>
      <c r="E73" s="5">
        <v>165.19499999999999</v>
      </c>
      <c r="F73" s="5">
        <v>30.009</v>
      </c>
      <c r="G73" s="2">
        <v>4.3427499999999997</v>
      </c>
      <c r="H73" s="5">
        <f t="shared" si="4"/>
        <v>89.4111328125</v>
      </c>
      <c r="I73" s="5">
        <f t="shared" si="5"/>
        <v>89.4111328125</v>
      </c>
      <c r="K73" s="5">
        <v>-0.3</v>
      </c>
      <c r="L73" s="5">
        <v>109.405</v>
      </c>
      <c r="M73" s="5">
        <v>31.582000000000001</v>
      </c>
      <c r="N73" s="5">
        <v>2.3147500000000001</v>
      </c>
      <c r="O73" s="5">
        <f t="shared" si="6"/>
        <v>80.143625</v>
      </c>
      <c r="P73" s="5">
        <f t="shared" si="7"/>
        <v>80.143625</v>
      </c>
      <c r="R73" s="5">
        <v>22.7</v>
      </c>
      <c r="S73" s="5">
        <v>31.0625</v>
      </c>
      <c r="T73" s="5">
        <v>34.915999999999997</v>
      </c>
      <c r="U73" s="2">
        <v>0.68674999999999997</v>
      </c>
      <c r="V73" s="5">
        <v>78</v>
      </c>
      <c r="W73" s="5">
        <v>78</v>
      </c>
      <c r="AA73" s="2"/>
      <c r="AJ73" s="4"/>
      <c r="AR73" s="4"/>
    </row>
    <row r="74" spans="4:44">
      <c r="D74" s="5">
        <v>-14.9</v>
      </c>
      <c r="E74" s="5">
        <v>166.28</v>
      </c>
      <c r="F74" s="5">
        <v>30.009</v>
      </c>
      <c r="G74" s="2">
        <v>4.3520000000000003</v>
      </c>
      <c r="H74" s="5">
        <f t="shared" si="4"/>
        <v>89.852625000000003</v>
      </c>
      <c r="I74" s="5">
        <f t="shared" si="5"/>
        <v>89.852625000000003</v>
      </c>
      <c r="K74" s="5">
        <v>-0.3</v>
      </c>
      <c r="L74" s="5">
        <v>111.56</v>
      </c>
      <c r="M74" s="5">
        <v>31.582000000000001</v>
      </c>
      <c r="N74" s="5">
        <v>2.3159999999999998</v>
      </c>
      <c r="O74" s="5">
        <f t="shared" si="6"/>
        <v>80.143625</v>
      </c>
      <c r="P74" s="5">
        <f t="shared" si="7"/>
        <v>80.143625</v>
      </c>
      <c r="R74" s="5">
        <v>22.8</v>
      </c>
      <c r="S74" s="5">
        <v>31.53</v>
      </c>
      <c r="T74" s="5">
        <v>34.915999999999997</v>
      </c>
      <c r="U74" s="2">
        <v>0.70899999999999996</v>
      </c>
      <c r="V74" s="5">
        <v>78</v>
      </c>
      <c r="W74" s="5">
        <v>78</v>
      </c>
      <c r="AA74" s="2"/>
      <c r="AJ74" s="4"/>
      <c r="AR74" s="4"/>
    </row>
    <row r="75" spans="4:44">
      <c r="D75" s="5">
        <v>-15.074999999999999</v>
      </c>
      <c r="E75" s="5">
        <v>167.60999999999999</v>
      </c>
      <c r="F75" s="5">
        <v>30.009</v>
      </c>
      <c r="G75" s="2">
        <v>4.3864999999999998</v>
      </c>
      <c r="H75" s="5">
        <f t="shared" si="4"/>
        <v>90.001320312499999</v>
      </c>
      <c r="I75" s="5">
        <f t="shared" si="5"/>
        <v>90</v>
      </c>
      <c r="K75" s="5">
        <v>-0.3</v>
      </c>
      <c r="L75" s="5">
        <v>115.41499999999999</v>
      </c>
      <c r="M75" s="5">
        <v>31.582000000000001</v>
      </c>
      <c r="N75" s="5">
        <v>2.3067500000000001</v>
      </c>
      <c r="O75" s="5">
        <f t="shared" si="6"/>
        <v>80.143625</v>
      </c>
      <c r="P75" s="5">
        <f t="shared" si="7"/>
        <v>80.143625</v>
      </c>
      <c r="R75" s="5">
        <v>22.824999999999999</v>
      </c>
      <c r="S75" s="5">
        <v>31.745000000000001</v>
      </c>
      <c r="T75" s="5">
        <v>34.915999999999997</v>
      </c>
      <c r="U75" s="2">
        <v>0.71149999999999991</v>
      </c>
      <c r="V75" s="5">
        <v>78</v>
      </c>
      <c r="W75" s="5">
        <v>78</v>
      </c>
      <c r="AA75" s="2"/>
      <c r="AJ75" s="4"/>
      <c r="AR75" s="4"/>
    </row>
    <row r="76" spans="4:44">
      <c r="D76" s="5">
        <v>-15.25</v>
      </c>
      <c r="E76" s="5">
        <v>168.94</v>
      </c>
      <c r="F76" s="5">
        <v>30.009</v>
      </c>
      <c r="G76" s="2">
        <v>4.4209999999999994</v>
      </c>
      <c r="H76" s="5">
        <f t="shared" si="4"/>
        <v>90.150781249999994</v>
      </c>
      <c r="I76" s="5">
        <f t="shared" si="5"/>
        <v>90</v>
      </c>
      <c r="K76" s="5">
        <v>-0.3</v>
      </c>
      <c r="L76" s="5">
        <v>119.27</v>
      </c>
      <c r="M76" s="5">
        <v>31.582000000000001</v>
      </c>
      <c r="N76" s="5">
        <v>2.2974999999999999</v>
      </c>
      <c r="O76" s="5">
        <f t="shared" si="6"/>
        <v>80.143625</v>
      </c>
      <c r="P76" s="5">
        <f t="shared" si="7"/>
        <v>80.143625</v>
      </c>
      <c r="R76" s="5">
        <v>22.85</v>
      </c>
      <c r="S76" s="5">
        <v>31.96</v>
      </c>
      <c r="T76" s="5">
        <v>34.915999999999997</v>
      </c>
      <c r="U76" s="2">
        <v>0.71399999999999997</v>
      </c>
      <c r="V76" s="5">
        <v>78</v>
      </c>
      <c r="W76" s="5">
        <v>78</v>
      </c>
      <c r="AA76" s="2"/>
      <c r="AJ76" s="4"/>
      <c r="AR76" s="4"/>
    </row>
    <row r="77" spans="4:44">
      <c r="D77" s="5">
        <v>-15.425000000000001</v>
      </c>
      <c r="E77" s="5">
        <v>170.27</v>
      </c>
      <c r="F77" s="5">
        <v>30.009</v>
      </c>
      <c r="G77" s="2">
        <v>4.4554999999999998</v>
      </c>
      <c r="H77" s="5">
        <f t="shared" si="4"/>
        <v>90.301007812500004</v>
      </c>
      <c r="I77" s="5">
        <f t="shared" si="5"/>
        <v>90</v>
      </c>
      <c r="K77" s="5">
        <v>-0.3</v>
      </c>
      <c r="L77" s="5">
        <v>123.125</v>
      </c>
      <c r="M77" s="5">
        <v>31.582000000000001</v>
      </c>
      <c r="N77" s="5">
        <v>2.2882500000000001</v>
      </c>
      <c r="O77" s="5">
        <f t="shared" si="6"/>
        <v>80.143625</v>
      </c>
      <c r="P77" s="5">
        <f t="shared" si="7"/>
        <v>80.143625</v>
      </c>
      <c r="R77" s="5">
        <v>22.875</v>
      </c>
      <c r="S77" s="5">
        <v>32.174999999999997</v>
      </c>
      <c r="T77" s="5">
        <v>34.915999999999997</v>
      </c>
      <c r="U77" s="2">
        <v>0.71650000000000003</v>
      </c>
      <c r="V77" s="5">
        <v>78</v>
      </c>
      <c r="W77" s="5">
        <v>78</v>
      </c>
      <c r="AA77" s="2"/>
      <c r="AJ77" s="4"/>
      <c r="AR77" s="4"/>
    </row>
    <row r="78" spans="4:44">
      <c r="D78" s="5">
        <v>-15.6</v>
      </c>
      <c r="E78" s="5">
        <v>171.6</v>
      </c>
      <c r="F78" s="5">
        <v>30.009</v>
      </c>
      <c r="G78" s="2">
        <v>4.4899999999999993</v>
      </c>
      <c r="H78" s="5">
        <f t="shared" si="4"/>
        <v>90.451999999999998</v>
      </c>
      <c r="I78" s="5">
        <f t="shared" si="5"/>
        <v>90</v>
      </c>
      <c r="K78" s="5">
        <v>-0.3</v>
      </c>
      <c r="L78" s="5">
        <v>126.98</v>
      </c>
      <c r="M78" s="5">
        <v>31.582000000000001</v>
      </c>
      <c r="N78" s="5">
        <v>2.2789999999999999</v>
      </c>
      <c r="O78" s="5">
        <f t="shared" si="6"/>
        <v>80.143625</v>
      </c>
      <c r="P78" s="5">
        <f t="shared" si="7"/>
        <v>80.143625</v>
      </c>
      <c r="R78" s="5">
        <v>22.9</v>
      </c>
      <c r="S78" s="5">
        <v>32.39</v>
      </c>
      <c r="T78" s="5">
        <v>34.915999999999997</v>
      </c>
      <c r="U78" s="2">
        <v>0.71899999999999997</v>
      </c>
      <c r="V78" s="5">
        <v>78</v>
      </c>
      <c r="W78" s="5">
        <v>78</v>
      </c>
      <c r="AA78" s="2"/>
      <c r="AJ78" s="4"/>
      <c r="AR78" s="4"/>
    </row>
    <row r="79" spans="4:44">
      <c r="D79" s="5">
        <v>-15.85</v>
      </c>
      <c r="E79" s="5">
        <v>162.70749999999998</v>
      </c>
      <c r="F79" s="5">
        <v>30.009</v>
      </c>
      <c r="G79" s="2">
        <v>4.4809999999999999</v>
      </c>
      <c r="H79" s="5">
        <f t="shared" si="4"/>
        <v>90.669031250000003</v>
      </c>
      <c r="I79" s="5">
        <f t="shared" si="5"/>
        <v>90</v>
      </c>
      <c r="K79" s="5">
        <v>-0.42499999999999999</v>
      </c>
      <c r="L79" s="5">
        <v>133.36750000000001</v>
      </c>
      <c r="M79" s="5">
        <v>31.582000000000001</v>
      </c>
      <c r="N79" s="5">
        <v>2.3307499999999997</v>
      </c>
      <c r="O79" s="5">
        <f t="shared" si="6"/>
        <v>80.204132812500006</v>
      </c>
      <c r="P79" s="5">
        <f t="shared" si="7"/>
        <v>80.204132812500006</v>
      </c>
      <c r="R79" s="5">
        <v>23</v>
      </c>
      <c r="S79" s="5">
        <v>32.137500000000003</v>
      </c>
      <c r="T79" s="5">
        <v>34.915999999999997</v>
      </c>
      <c r="U79" s="2">
        <v>0.70874999999999999</v>
      </c>
      <c r="V79" s="5">
        <v>78</v>
      </c>
      <c r="W79" s="5">
        <v>78</v>
      </c>
      <c r="AA79" s="2"/>
      <c r="AJ79" s="4"/>
      <c r="AR79" s="4"/>
    </row>
    <row r="80" spans="4:44">
      <c r="D80" s="5">
        <v>-16.100000000000001</v>
      </c>
      <c r="E80" s="5">
        <v>153.815</v>
      </c>
      <c r="F80" s="5">
        <v>30.009</v>
      </c>
      <c r="G80" s="2">
        <v>4.4719999999999995</v>
      </c>
      <c r="H80" s="5">
        <f t="shared" si="4"/>
        <v>90.887625</v>
      </c>
      <c r="I80" s="5">
        <f t="shared" si="5"/>
        <v>90</v>
      </c>
      <c r="K80" s="5">
        <v>-0.55000000000000004</v>
      </c>
      <c r="L80" s="5">
        <v>139.755</v>
      </c>
      <c r="M80" s="5">
        <v>31.582000000000001</v>
      </c>
      <c r="N80" s="5">
        <v>2.3824999999999998</v>
      </c>
      <c r="O80" s="5">
        <f t="shared" si="6"/>
        <v>80.265031250000007</v>
      </c>
      <c r="P80" s="5">
        <f t="shared" si="7"/>
        <v>80.265031250000007</v>
      </c>
      <c r="R80" s="5">
        <v>23.1</v>
      </c>
      <c r="S80" s="5">
        <v>31.884999999999998</v>
      </c>
      <c r="T80" s="5">
        <v>34.915999999999997</v>
      </c>
      <c r="U80" s="2">
        <v>0.69850000000000001</v>
      </c>
      <c r="V80" s="5">
        <v>78</v>
      </c>
      <c r="W80" s="5">
        <v>78</v>
      </c>
      <c r="AA80" s="2"/>
      <c r="AJ80" s="4"/>
      <c r="AR80" s="4"/>
    </row>
    <row r="81" spans="4:44">
      <c r="D81" s="5">
        <v>-16.350000000000001</v>
      </c>
      <c r="E81" s="5">
        <v>144.92250000000001</v>
      </c>
      <c r="F81" s="5">
        <v>30.009</v>
      </c>
      <c r="G81" s="2">
        <v>4.4629999999999992</v>
      </c>
      <c r="H81" s="5">
        <f t="shared" si="4"/>
        <v>91.107781250000002</v>
      </c>
      <c r="I81" s="5">
        <f t="shared" si="5"/>
        <v>90</v>
      </c>
      <c r="K81" s="5">
        <v>-0.67500000000000004</v>
      </c>
      <c r="L81" s="5">
        <v>146.14250000000001</v>
      </c>
      <c r="M81" s="5">
        <v>31.582000000000001</v>
      </c>
      <c r="N81" s="5">
        <v>2.43425</v>
      </c>
      <c r="O81" s="5">
        <f t="shared" si="6"/>
        <v>80.326320312500002</v>
      </c>
      <c r="P81" s="5">
        <f t="shared" si="7"/>
        <v>80.326320312500002</v>
      </c>
      <c r="R81" s="5">
        <v>23.2</v>
      </c>
      <c r="S81" s="5">
        <v>31.6325</v>
      </c>
      <c r="T81" s="5">
        <v>34.915999999999997</v>
      </c>
      <c r="U81" s="2">
        <v>0.68825000000000003</v>
      </c>
      <c r="V81" s="5">
        <v>78</v>
      </c>
      <c r="W81" s="5">
        <v>78</v>
      </c>
      <c r="AA81" s="2"/>
      <c r="AJ81" s="4"/>
      <c r="AR81" s="4"/>
    </row>
    <row r="82" spans="4:44">
      <c r="D82" s="5">
        <v>-16.600000000000001</v>
      </c>
      <c r="E82" s="5">
        <v>136.03</v>
      </c>
      <c r="F82" s="5">
        <v>30.009</v>
      </c>
      <c r="G82" s="2">
        <v>4.4539999999999997</v>
      </c>
      <c r="H82" s="5">
        <f t="shared" si="4"/>
        <v>91.329499999999996</v>
      </c>
      <c r="I82" s="5">
        <f t="shared" si="5"/>
        <v>90</v>
      </c>
      <c r="K82" s="5">
        <v>-0.8</v>
      </c>
      <c r="L82" s="5">
        <v>152.53</v>
      </c>
      <c r="M82" s="5">
        <v>31.582000000000001</v>
      </c>
      <c r="N82" s="5">
        <v>2.4859999999999998</v>
      </c>
      <c r="O82" s="5">
        <f t="shared" si="6"/>
        <v>80.388000000000005</v>
      </c>
      <c r="P82" s="5">
        <f t="shared" si="7"/>
        <v>80.388000000000005</v>
      </c>
      <c r="R82" s="5">
        <v>23.3</v>
      </c>
      <c r="S82" s="5">
        <v>31.38</v>
      </c>
      <c r="T82" s="5">
        <v>34.915999999999997</v>
      </c>
      <c r="U82" s="2">
        <v>0.67800000000000005</v>
      </c>
      <c r="V82" s="5">
        <v>78</v>
      </c>
      <c r="W82" s="5">
        <v>78</v>
      </c>
      <c r="AA82" s="2"/>
      <c r="AJ82" s="4"/>
      <c r="AR82" s="4"/>
    </row>
    <row r="83" spans="4:44">
      <c r="D83" s="5">
        <v>-17.05</v>
      </c>
      <c r="E83" s="5">
        <v>132.995</v>
      </c>
      <c r="F83" s="5">
        <v>30.009</v>
      </c>
      <c r="G83" s="2">
        <v>4.4822499999999996</v>
      </c>
      <c r="H83" s="5">
        <f t="shared" si="4"/>
        <v>91.732531249999994</v>
      </c>
      <c r="I83" s="5">
        <f t="shared" si="5"/>
        <v>90</v>
      </c>
      <c r="K83" s="5">
        <v>-0.875</v>
      </c>
      <c r="L83" s="5">
        <v>145.39999999999998</v>
      </c>
      <c r="M83" s="5">
        <v>31.582000000000001</v>
      </c>
      <c r="N83" s="5">
        <v>2.4882499999999999</v>
      </c>
      <c r="O83" s="5">
        <f t="shared" si="6"/>
        <v>80.425195312499994</v>
      </c>
      <c r="P83" s="5">
        <f t="shared" si="7"/>
        <v>80.425195312499994</v>
      </c>
      <c r="R83" s="5">
        <v>23.15</v>
      </c>
      <c r="S83" s="5">
        <v>30.5</v>
      </c>
      <c r="T83" s="5">
        <v>34.915999999999997</v>
      </c>
      <c r="U83" s="2">
        <v>0.57650000000000001</v>
      </c>
      <c r="V83" s="5">
        <v>78</v>
      </c>
      <c r="W83" s="5">
        <v>78</v>
      </c>
      <c r="AA83" s="2"/>
      <c r="AJ83" s="4"/>
      <c r="AR83" s="4"/>
    </row>
    <row r="84" spans="4:44">
      <c r="D84" s="5">
        <v>-17.5</v>
      </c>
      <c r="E84" s="5">
        <v>129.96</v>
      </c>
      <c r="F84" s="5">
        <v>30.009</v>
      </c>
      <c r="G84" s="2">
        <v>4.5104999999999995</v>
      </c>
      <c r="H84" s="5">
        <f t="shared" si="4"/>
        <v>92.140625</v>
      </c>
      <c r="I84" s="5">
        <f t="shared" si="5"/>
        <v>90</v>
      </c>
      <c r="K84" s="5">
        <v>-0.95000000000000007</v>
      </c>
      <c r="L84" s="5">
        <v>138.27000000000001</v>
      </c>
      <c r="M84" s="5">
        <v>31.582000000000001</v>
      </c>
      <c r="N84" s="5">
        <v>2.4904999999999995</v>
      </c>
      <c r="O84" s="5">
        <f t="shared" si="6"/>
        <v>80.462531249999998</v>
      </c>
      <c r="P84" s="5">
        <f t="shared" si="7"/>
        <v>80.462531249999998</v>
      </c>
      <c r="R84" s="5">
        <v>23</v>
      </c>
      <c r="S84" s="5">
        <v>29.62</v>
      </c>
      <c r="T84" s="5">
        <v>34.915999999999997</v>
      </c>
      <c r="U84" s="2">
        <v>0.47500000000000003</v>
      </c>
      <c r="V84" s="5">
        <v>78</v>
      </c>
      <c r="W84" s="5">
        <v>78</v>
      </c>
      <c r="AA84" s="2"/>
      <c r="AJ84" s="4"/>
      <c r="AR84" s="4"/>
    </row>
    <row r="85" spans="4:44">
      <c r="D85" s="5">
        <v>-17.95</v>
      </c>
      <c r="E85" s="5">
        <v>126.92500000000001</v>
      </c>
      <c r="F85" s="5">
        <v>30.009</v>
      </c>
      <c r="G85" s="2">
        <v>4.5387499999999994</v>
      </c>
      <c r="H85" s="5">
        <f t="shared" si="4"/>
        <v>92.55378125</v>
      </c>
      <c r="I85" s="5">
        <f t="shared" si="5"/>
        <v>90</v>
      </c>
      <c r="K85" s="5">
        <v>-1.0249999999999999</v>
      </c>
      <c r="L85" s="5">
        <v>131.14000000000001</v>
      </c>
      <c r="M85" s="5">
        <v>31.582000000000001</v>
      </c>
      <c r="N85" s="5">
        <v>2.4927499999999996</v>
      </c>
      <c r="O85" s="5">
        <f t="shared" si="6"/>
        <v>80.500007812500002</v>
      </c>
      <c r="P85" s="5">
        <f t="shared" si="7"/>
        <v>80.500007812500002</v>
      </c>
      <c r="R85" s="5">
        <v>22.85</v>
      </c>
      <c r="S85" s="5">
        <v>28.740000000000002</v>
      </c>
      <c r="T85" s="5">
        <v>34.915999999999997</v>
      </c>
      <c r="U85" s="2">
        <v>0.40715000000000001</v>
      </c>
      <c r="V85" s="5">
        <v>78</v>
      </c>
      <c r="W85" s="5">
        <v>78</v>
      </c>
      <c r="AA85" s="2"/>
      <c r="AJ85" s="4"/>
      <c r="AR85" s="4"/>
    </row>
    <row r="86" spans="4:44">
      <c r="D86" s="5">
        <v>-18.399999999999999</v>
      </c>
      <c r="E86" s="5">
        <v>123.88999999999999</v>
      </c>
      <c r="F86" s="5">
        <v>30.009</v>
      </c>
      <c r="G86" s="2">
        <v>4.5669999999999993</v>
      </c>
      <c r="H86" s="5">
        <f t="shared" si="4"/>
        <v>92.971999999999994</v>
      </c>
      <c r="I86" s="5">
        <f t="shared" si="5"/>
        <v>90</v>
      </c>
      <c r="K86" s="5">
        <v>-1.1000000000000001</v>
      </c>
      <c r="L86" s="5">
        <v>124.00999999999999</v>
      </c>
      <c r="M86" s="5">
        <v>31.582000000000001</v>
      </c>
      <c r="N86" s="5">
        <v>2.4949999999999997</v>
      </c>
      <c r="O86" s="5">
        <f t="shared" si="6"/>
        <v>80.537625000000006</v>
      </c>
      <c r="P86" s="5">
        <f t="shared" si="7"/>
        <v>80.537625000000006</v>
      </c>
      <c r="R86" s="5">
        <v>22.7</v>
      </c>
      <c r="S86" s="5">
        <v>27.86</v>
      </c>
      <c r="T86" s="5">
        <v>34.915999999999997</v>
      </c>
      <c r="U86" s="2">
        <v>0.4073</v>
      </c>
      <c r="V86" s="5">
        <v>78</v>
      </c>
      <c r="W86" s="5">
        <v>78</v>
      </c>
      <c r="AA86" s="2"/>
      <c r="AJ86" s="4"/>
      <c r="AR86" s="4"/>
    </row>
    <row r="87" spans="4:44">
      <c r="D87" s="5">
        <v>-18.850000000000001</v>
      </c>
      <c r="E87" s="5">
        <v>123.45750000000001</v>
      </c>
      <c r="F87" s="5">
        <v>30.009</v>
      </c>
      <c r="G87" s="2">
        <v>4.5544999999999991</v>
      </c>
      <c r="H87" s="5">
        <f t="shared" si="4"/>
        <v>93.395281249999996</v>
      </c>
      <c r="I87" s="5">
        <f t="shared" si="5"/>
        <v>90</v>
      </c>
      <c r="K87" s="5">
        <v>-1.2</v>
      </c>
      <c r="L87" s="5">
        <v>123.99749999999999</v>
      </c>
      <c r="M87" s="5">
        <v>31.582000000000001</v>
      </c>
      <c r="N87" s="5">
        <v>2.4974999999999996</v>
      </c>
      <c r="O87" s="5">
        <f t="shared" si="6"/>
        <v>80.587999999999994</v>
      </c>
      <c r="P87" s="5">
        <f t="shared" si="7"/>
        <v>80.587999999999994</v>
      </c>
      <c r="R87" s="5">
        <v>22.4</v>
      </c>
      <c r="S87" s="5">
        <v>26.515000000000001</v>
      </c>
      <c r="T87" s="5">
        <v>34.915999999999997</v>
      </c>
      <c r="U87" s="2">
        <v>0.40760000000000002</v>
      </c>
      <c r="V87" s="5">
        <v>78</v>
      </c>
      <c r="W87" s="5">
        <v>78</v>
      </c>
      <c r="AA87" s="2"/>
      <c r="AJ87" s="4"/>
      <c r="AR87" s="4"/>
    </row>
    <row r="88" spans="4:44">
      <c r="D88" s="5">
        <v>-19.3</v>
      </c>
      <c r="E88" s="5">
        <v>123.02500000000001</v>
      </c>
      <c r="F88" s="5">
        <v>30.009</v>
      </c>
      <c r="G88" s="2">
        <v>4.5419999999999998</v>
      </c>
      <c r="H88" s="5">
        <f t="shared" si="4"/>
        <v>93.823624999999993</v>
      </c>
      <c r="I88" s="5">
        <f t="shared" si="5"/>
        <v>90</v>
      </c>
      <c r="K88" s="5">
        <v>-1.3</v>
      </c>
      <c r="L88" s="5">
        <v>123.985</v>
      </c>
      <c r="M88" s="5">
        <v>31.582000000000001</v>
      </c>
      <c r="N88" s="5">
        <v>2.4999999999999996</v>
      </c>
      <c r="O88" s="5">
        <f t="shared" si="6"/>
        <v>80.638625000000005</v>
      </c>
      <c r="P88" s="5">
        <f t="shared" si="7"/>
        <v>80.638625000000005</v>
      </c>
      <c r="R88" s="5">
        <v>22.1</v>
      </c>
      <c r="S88" s="5">
        <v>25.169999999999998</v>
      </c>
      <c r="T88" s="5">
        <v>34.915999999999997</v>
      </c>
      <c r="U88" s="2">
        <v>0.40789999999999998</v>
      </c>
      <c r="V88" s="5">
        <v>78</v>
      </c>
      <c r="W88" s="5">
        <v>78</v>
      </c>
      <c r="AA88" s="2"/>
      <c r="AJ88" s="4"/>
      <c r="AR88" s="4"/>
    </row>
    <row r="89" spans="4:44">
      <c r="D89" s="5">
        <v>-19.75</v>
      </c>
      <c r="E89" s="5">
        <v>122.5925</v>
      </c>
      <c r="F89" s="5">
        <v>30.009</v>
      </c>
      <c r="G89" s="2">
        <v>4.5294999999999996</v>
      </c>
      <c r="H89" s="5">
        <f t="shared" si="4"/>
        <v>94.257031249999997</v>
      </c>
      <c r="I89" s="5">
        <f t="shared" si="5"/>
        <v>90</v>
      </c>
      <c r="K89" s="5">
        <v>-1.4</v>
      </c>
      <c r="L89" s="5">
        <v>123.9725</v>
      </c>
      <c r="M89" s="5">
        <v>31.582000000000001</v>
      </c>
      <c r="N89" s="5">
        <v>2.5024999999999999</v>
      </c>
      <c r="O89" s="5">
        <f t="shared" si="6"/>
        <v>80.689499999999995</v>
      </c>
      <c r="P89" s="5">
        <f t="shared" si="7"/>
        <v>80.689499999999995</v>
      </c>
      <c r="R89" s="5">
        <v>21.8</v>
      </c>
      <c r="S89" s="5">
        <v>23.824999999999999</v>
      </c>
      <c r="T89" s="5">
        <v>34.915999999999997</v>
      </c>
      <c r="U89" s="2">
        <v>0.40820000000000001</v>
      </c>
      <c r="V89" s="5">
        <v>78</v>
      </c>
      <c r="W89" s="5">
        <v>78</v>
      </c>
      <c r="AA89" s="2"/>
      <c r="AJ89" s="4"/>
      <c r="AR89" s="4"/>
    </row>
    <row r="90" spans="4:44">
      <c r="D90" s="5">
        <v>-20.2</v>
      </c>
      <c r="E90" s="5">
        <v>122.16</v>
      </c>
      <c r="F90" s="5">
        <v>30.009</v>
      </c>
      <c r="G90" s="2">
        <v>4.5169999999999995</v>
      </c>
      <c r="H90" s="5">
        <f t="shared" si="4"/>
        <v>94.695499999999996</v>
      </c>
      <c r="I90" s="5">
        <f t="shared" si="5"/>
        <v>90</v>
      </c>
      <c r="K90" s="5">
        <v>-1.5</v>
      </c>
      <c r="L90" s="5">
        <v>123.96000000000001</v>
      </c>
      <c r="M90" s="5">
        <v>31.582000000000001</v>
      </c>
      <c r="N90" s="5">
        <v>2.5049999999999999</v>
      </c>
      <c r="O90" s="5">
        <f t="shared" si="6"/>
        <v>80.740624999999994</v>
      </c>
      <c r="P90" s="5">
        <f t="shared" si="7"/>
        <v>80.740624999999994</v>
      </c>
      <c r="R90" s="5">
        <v>21.5</v>
      </c>
      <c r="S90" s="5">
        <v>22.480000000000004</v>
      </c>
      <c r="T90" s="5">
        <v>34.915999999999997</v>
      </c>
      <c r="U90" s="2">
        <v>0.40849999999999997</v>
      </c>
      <c r="V90" s="5">
        <v>78</v>
      </c>
      <c r="W90" s="5">
        <v>78</v>
      </c>
      <c r="AA90" s="2"/>
      <c r="AJ90" s="4"/>
      <c r="AR90" s="4"/>
    </row>
    <row r="91" spans="4:44">
      <c r="D91" s="5">
        <v>-20.399999999999999</v>
      </c>
      <c r="E91" s="5">
        <v>121.24000000000001</v>
      </c>
      <c r="F91" s="5">
        <v>30.009</v>
      </c>
      <c r="G91" s="2">
        <v>4.5102499999999992</v>
      </c>
      <c r="H91" s="5">
        <f t="shared" si="4"/>
        <v>94.891999999999996</v>
      </c>
      <c r="I91" s="5">
        <f t="shared" si="5"/>
        <v>90</v>
      </c>
      <c r="K91" s="5">
        <v>-1.575</v>
      </c>
      <c r="L91" s="5">
        <v>115.27749999999999</v>
      </c>
      <c r="M91" s="5">
        <v>31.582000000000001</v>
      </c>
      <c r="N91" s="5">
        <v>2.4907499999999998</v>
      </c>
      <c r="O91" s="5">
        <f t="shared" si="6"/>
        <v>80.779132812499995</v>
      </c>
      <c r="P91" s="5">
        <f t="shared" si="7"/>
        <v>80.779132812499995</v>
      </c>
      <c r="R91" s="5">
        <v>20.95</v>
      </c>
      <c r="S91" s="5">
        <v>18.405000000000001</v>
      </c>
      <c r="T91" s="5">
        <v>34.915999999999997</v>
      </c>
      <c r="U91" s="2">
        <v>0.40904999999999997</v>
      </c>
      <c r="V91" s="5">
        <v>78</v>
      </c>
      <c r="W91" s="5">
        <v>78</v>
      </c>
      <c r="AA91" s="2"/>
      <c r="AJ91" s="4"/>
      <c r="AR91" s="4"/>
    </row>
    <row r="92" spans="4:44">
      <c r="D92" s="5">
        <v>-20.6</v>
      </c>
      <c r="E92" s="5">
        <v>120.32</v>
      </c>
      <c r="F92" s="5">
        <v>30.009</v>
      </c>
      <c r="G92" s="2">
        <v>4.5034999999999989</v>
      </c>
      <c r="H92" s="5">
        <f t="shared" si="4"/>
        <v>95.089500000000001</v>
      </c>
      <c r="I92" s="5">
        <f t="shared" si="5"/>
        <v>90</v>
      </c>
      <c r="K92" s="5">
        <v>-1.65</v>
      </c>
      <c r="L92" s="5">
        <v>106.595</v>
      </c>
      <c r="M92" s="5">
        <v>31.582000000000001</v>
      </c>
      <c r="N92" s="5">
        <v>2.4765000000000001</v>
      </c>
      <c r="O92" s="5">
        <f t="shared" si="6"/>
        <v>80.817781249999996</v>
      </c>
      <c r="P92" s="5">
        <f t="shared" si="7"/>
        <v>80.817781249999996</v>
      </c>
      <c r="R92" s="5">
        <v>20.399999999999999</v>
      </c>
      <c r="S92" s="5">
        <v>14.33</v>
      </c>
      <c r="T92" s="5">
        <v>34.915999999999997</v>
      </c>
      <c r="U92" s="2">
        <v>0.40960000000000002</v>
      </c>
      <c r="V92" s="5">
        <v>78</v>
      </c>
      <c r="W92" s="5">
        <v>78</v>
      </c>
      <c r="AA92" s="2"/>
      <c r="AJ92" s="4"/>
      <c r="AR92" s="4"/>
    </row>
    <row r="93" spans="4:44">
      <c r="D93" s="5">
        <v>-20.8</v>
      </c>
      <c r="E93" s="5">
        <v>119.39999999999999</v>
      </c>
      <c r="F93" s="5">
        <v>30.009</v>
      </c>
      <c r="G93" s="2">
        <v>4.4967499999999996</v>
      </c>
      <c r="H93" s="5">
        <f t="shared" si="4"/>
        <v>95.287999999999997</v>
      </c>
      <c r="I93" s="5">
        <f t="shared" si="5"/>
        <v>90</v>
      </c>
      <c r="K93" s="5">
        <v>-1.7250000000000001</v>
      </c>
      <c r="L93" s="5">
        <v>97.912499999999994</v>
      </c>
      <c r="M93" s="5">
        <v>31.582000000000001</v>
      </c>
      <c r="N93" s="5">
        <v>2.46225</v>
      </c>
      <c r="O93" s="5">
        <f t="shared" si="6"/>
        <v>80.856570312499997</v>
      </c>
      <c r="P93" s="5">
        <f t="shared" si="7"/>
        <v>80.856570312499997</v>
      </c>
      <c r="R93" s="5">
        <v>19.850000000000001</v>
      </c>
      <c r="S93" s="5">
        <v>10.255000000000001</v>
      </c>
      <c r="T93" s="5">
        <v>34.915999999999997</v>
      </c>
      <c r="U93" s="2">
        <v>0.41015000000000001</v>
      </c>
      <c r="V93" s="5">
        <v>78</v>
      </c>
      <c r="W93" s="5">
        <v>78</v>
      </c>
      <c r="AA93" s="2"/>
      <c r="AJ93" s="4"/>
      <c r="AR93" s="4"/>
    </row>
    <row r="94" spans="4:44">
      <c r="D94" s="5">
        <v>-21</v>
      </c>
      <c r="E94" s="5">
        <v>118.48</v>
      </c>
      <c r="F94" s="5">
        <v>30.009</v>
      </c>
      <c r="G94" s="2">
        <v>4.4899999999999993</v>
      </c>
      <c r="H94" s="5">
        <f t="shared" si="4"/>
        <v>95.487499999999997</v>
      </c>
      <c r="I94" s="5">
        <f t="shared" si="5"/>
        <v>90</v>
      </c>
      <c r="K94" s="5">
        <v>-1.8</v>
      </c>
      <c r="L94" s="5">
        <v>89.23</v>
      </c>
      <c r="M94" s="5">
        <v>31.582000000000001</v>
      </c>
      <c r="N94" s="5">
        <v>2.448</v>
      </c>
      <c r="O94" s="5">
        <f t="shared" si="6"/>
        <v>80.895499999999998</v>
      </c>
      <c r="P94" s="5">
        <f t="shared" si="7"/>
        <v>80.895499999999998</v>
      </c>
      <c r="R94" s="5">
        <v>19.3</v>
      </c>
      <c r="S94" s="5">
        <v>6.18</v>
      </c>
      <c r="T94" s="5">
        <v>34.915999999999997</v>
      </c>
      <c r="U94" s="2">
        <v>0.41070000000000001</v>
      </c>
      <c r="V94" s="5">
        <v>78</v>
      </c>
      <c r="W94" s="5">
        <v>78</v>
      </c>
      <c r="AA94" s="2"/>
      <c r="AJ94" s="4"/>
      <c r="AR94" s="4"/>
    </row>
    <row r="95" spans="4:44">
      <c r="D95" s="5">
        <v>-21.2</v>
      </c>
      <c r="E95" s="5">
        <v>118.3475</v>
      </c>
      <c r="F95" s="5">
        <v>30.009</v>
      </c>
      <c r="G95" s="2">
        <v>4.4877499999999992</v>
      </c>
      <c r="H95" s="5">
        <f t="shared" si="4"/>
        <v>95.688000000000002</v>
      </c>
      <c r="I95" s="5">
        <f t="shared" si="5"/>
        <v>90</v>
      </c>
      <c r="K95" s="5">
        <v>-1.875</v>
      </c>
      <c r="L95" s="5">
        <v>87.360000000000014</v>
      </c>
      <c r="M95" s="5">
        <v>31.582000000000001</v>
      </c>
      <c r="N95" s="5">
        <v>2.42075</v>
      </c>
      <c r="O95" s="5">
        <f t="shared" si="6"/>
        <v>80.9345703125</v>
      </c>
      <c r="P95" s="5">
        <f t="shared" si="7"/>
        <v>80.9345703125</v>
      </c>
      <c r="R95" s="5">
        <v>18.975000000000001</v>
      </c>
      <c r="S95" s="5">
        <v>4.6349999999999998</v>
      </c>
      <c r="T95" s="5">
        <v>34.915999999999997</v>
      </c>
      <c r="U95" s="2">
        <v>0.41102499999999997</v>
      </c>
      <c r="V95" s="5">
        <v>78</v>
      </c>
      <c r="W95" s="5">
        <v>78</v>
      </c>
      <c r="AA95" s="2"/>
      <c r="AJ95" s="4"/>
      <c r="AR95" s="4"/>
    </row>
    <row r="96" spans="4:44">
      <c r="D96" s="5">
        <v>-21.4</v>
      </c>
      <c r="E96" s="5">
        <v>118.215</v>
      </c>
      <c r="F96" s="5">
        <v>30.009</v>
      </c>
      <c r="G96" s="2">
        <v>4.4855</v>
      </c>
      <c r="H96" s="5">
        <f t="shared" si="4"/>
        <v>95.889499999999998</v>
      </c>
      <c r="I96" s="5">
        <f t="shared" si="5"/>
        <v>90</v>
      </c>
      <c r="K96" s="5">
        <v>-1.95</v>
      </c>
      <c r="L96" s="5">
        <v>85.49</v>
      </c>
      <c r="M96" s="5">
        <v>31.582000000000001</v>
      </c>
      <c r="N96" s="5">
        <v>2.3935</v>
      </c>
      <c r="O96" s="5">
        <f t="shared" si="6"/>
        <v>80.973781250000002</v>
      </c>
      <c r="P96" s="5">
        <f t="shared" si="7"/>
        <v>80.973781250000002</v>
      </c>
      <c r="R96" s="5">
        <v>18.649999999999999</v>
      </c>
      <c r="S96" s="5">
        <v>3.09</v>
      </c>
      <c r="T96" s="5">
        <v>34.915999999999997</v>
      </c>
      <c r="U96" s="2">
        <v>0.41134999999999999</v>
      </c>
      <c r="V96" s="5">
        <v>78</v>
      </c>
      <c r="W96" s="5">
        <v>78</v>
      </c>
      <c r="AA96" s="2"/>
      <c r="AJ96" s="4"/>
      <c r="AR96" s="4"/>
    </row>
    <row r="97" spans="4:44">
      <c r="D97" s="5">
        <v>-21.6</v>
      </c>
      <c r="E97" s="5">
        <v>118.0825</v>
      </c>
      <c r="F97" s="5">
        <v>30.009</v>
      </c>
      <c r="G97" s="2">
        <v>4.48325</v>
      </c>
      <c r="H97" s="5">
        <f t="shared" si="4"/>
        <v>96.091999999999999</v>
      </c>
      <c r="I97" s="5">
        <f t="shared" si="5"/>
        <v>90</v>
      </c>
      <c r="K97" s="5">
        <v>-2.0249999999999999</v>
      </c>
      <c r="L97" s="5">
        <v>83.62</v>
      </c>
      <c r="M97" s="5">
        <v>31.582000000000001</v>
      </c>
      <c r="N97" s="5">
        <v>2.36625</v>
      </c>
      <c r="O97" s="5">
        <f t="shared" si="6"/>
        <v>81.013132812500004</v>
      </c>
      <c r="P97" s="5">
        <f t="shared" si="7"/>
        <v>81.013132812500004</v>
      </c>
      <c r="R97" s="5">
        <v>18.324999999999999</v>
      </c>
      <c r="S97" s="5">
        <v>1.5449999999999999</v>
      </c>
      <c r="T97" s="5">
        <v>34.915999999999997</v>
      </c>
      <c r="U97" s="2">
        <v>0.41167500000000001</v>
      </c>
      <c r="V97" s="5">
        <v>78</v>
      </c>
      <c r="W97" s="5">
        <v>78</v>
      </c>
      <c r="AA97" s="2"/>
      <c r="AJ97" s="4"/>
      <c r="AR97" s="4"/>
    </row>
    <row r="98" spans="4:44">
      <c r="D98" s="5">
        <v>-21.8</v>
      </c>
      <c r="E98" s="5">
        <v>117.95</v>
      </c>
      <c r="F98" s="5">
        <v>29.151</v>
      </c>
      <c r="G98" s="2">
        <v>4.4809999999999999</v>
      </c>
      <c r="H98" s="5">
        <f t="shared" si="4"/>
        <v>96.295500000000004</v>
      </c>
      <c r="I98" s="5">
        <f t="shared" si="5"/>
        <v>90</v>
      </c>
      <c r="K98" s="5">
        <v>-2.1</v>
      </c>
      <c r="L98" s="5">
        <v>81.75</v>
      </c>
      <c r="M98" s="5">
        <v>31.966000000000001</v>
      </c>
      <c r="N98" s="5">
        <v>2.339</v>
      </c>
      <c r="O98" s="5">
        <f t="shared" si="6"/>
        <v>81.052625000000006</v>
      </c>
      <c r="P98" s="5">
        <f t="shared" si="7"/>
        <v>81.052625000000006</v>
      </c>
      <c r="R98" s="5">
        <v>18</v>
      </c>
      <c r="S98" s="5">
        <v>0</v>
      </c>
      <c r="T98" s="5">
        <v>35.204999999999998</v>
      </c>
      <c r="U98" s="2">
        <v>0.41199999999999998</v>
      </c>
      <c r="V98" s="5">
        <v>78</v>
      </c>
      <c r="W98" s="5">
        <v>78</v>
      </c>
      <c r="AA98" s="2"/>
      <c r="AJ98" s="4"/>
      <c r="AR98" s="4"/>
    </row>
    <row r="99" spans="4:44">
      <c r="D99" s="5">
        <v>-21.925000000000001</v>
      </c>
      <c r="E99" s="5">
        <v>120.19500000000001</v>
      </c>
      <c r="F99" s="5">
        <v>29.151</v>
      </c>
      <c r="G99" s="2">
        <v>4.4812499999999993</v>
      </c>
      <c r="H99" s="5">
        <f t="shared" si="4"/>
        <v>96.423195312499999</v>
      </c>
      <c r="I99" s="5">
        <f t="shared" si="5"/>
        <v>90</v>
      </c>
      <c r="K99" s="5">
        <v>-2.15</v>
      </c>
      <c r="L99" s="5">
        <v>86.062500000000014</v>
      </c>
      <c r="M99" s="5">
        <v>31.966000000000001</v>
      </c>
      <c r="N99" s="5">
        <v>2.3432499999999998</v>
      </c>
      <c r="O99" s="5">
        <f t="shared" si="6"/>
        <v>81.07903125</v>
      </c>
      <c r="P99" s="5">
        <f t="shared" si="7"/>
        <v>81.07903125</v>
      </c>
      <c r="R99" s="5">
        <v>17.875</v>
      </c>
      <c r="S99" s="5">
        <v>-0.21499999999999997</v>
      </c>
      <c r="T99" s="5">
        <v>35.204999999999998</v>
      </c>
      <c r="U99" s="2">
        <v>0.41212500000000002</v>
      </c>
      <c r="V99" s="5">
        <v>78</v>
      </c>
      <c r="W99" s="5">
        <v>78</v>
      </c>
      <c r="AA99" s="2"/>
      <c r="AJ99" s="4"/>
      <c r="AR99" s="4"/>
    </row>
    <row r="100" spans="4:44">
      <c r="D100" s="5">
        <v>-22.05</v>
      </c>
      <c r="E100" s="5">
        <v>122.44</v>
      </c>
      <c r="F100" s="5">
        <v>29.151</v>
      </c>
      <c r="G100" s="2">
        <v>4.4814999999999996</v>
      </c>
      <c r="H100" s="5">
        <f t="shared" si="4"/>
        <v>96.551281250000002</v>
      </c>
      <c r="I100" s="5">
        <f t="shared" si="5"/>
        <v>90</v>
      </c>
      <c r="K100" s="5">
        <v>-2.2000000000000002</v>
      </c>
      <c r="L100" s="5">
        <v>90.375000000000014</v>
      </c>
      <c r="M100" s="5">
        <v>31.966000000000001</v>
      </c>
      <c r="N100" s="5">
        <v>2.3474999999999997</v>
      </c>
      <c r="O100" s="5">
        <f t="shared" si="6"/>
        <v>81.105500000000006</v>
      </c>
      <c r="P100" s="5">
        <f t="shared" si="7"/>
        <v>81.105500000000006</v>
      </c>
      <c r="R100" s="5">
        <v>17.75</v>
      </c>
      <c r="S100" s="5">
        <v>-0.42999999999999994</v>
      </c>
      <c r="T100" s="5">
        <v>35.204999999999998</v>
      </c>
      <c r="U100" s="2">
        <v>0.41225000000000001</v>
      </c>
      <c r="V100" s="5">
        <v>78</v>
      </c>
      <c r="W100" s="5">
        <v>78</v>
      </c>
      <c r="AA100" s="2"/>
      <c r="AJ100" s="4"/>
      <c r="AR100" s="4"/>
    </row>
    <row r="101" spans="4:44">
      <c r="D101" s="5">
        <v>-22.175000000000001</v>
      </c>
      <c r="E101" s="5">
        <v>124.685</v>
      </c>
      <c r="F101" s="5">
        <v>29.151</v>
      </c>
      <c r="G101" s="2">
        <v>4.4817499999999999</v>
      </c>
      <c r="H101" s="5">
        <f t="shared" si="4"/>
        <v>96.6797578125</v>
      </c>
      <c r="I101" s="5">
        <f t="shared" si="5"/>
        <v>90</v>
      </c>
      <c r="K101" s="5">
        <v>-2.25</v>
      </c>
      <c r="L101" s="5">
        <v>94.6875</v>
      </c>
      <c r="M101" s="5">
        <v>31.966000000000001</v>
      </c>
      <c r="N101" s="5">
        <v>2.35175</v>
      </c>
      <c r="O101" s="5">
        <f t="shared" si="6"/>
        <v>81.132031249999997</v>
      </c>
      <c r="P101" s="5">
        <f t="shared" si="7"/>
        <v>81.132031249999997</v>
      </c>
      <c r="R101" s="5">
        <v>17.625</v>
      </c>
      <c r="S101" s="5">
        <v>-0.64500000000000002</v>
      </c>
      <c r="T101" s="5">
        <v>35.204999999999998</v>
      </c>
      <c r="U101" s="2">
        <v>0.41237499999999999</v>
      </c>
      <c r="V101" s="5">
        <v>78</v>
      </c>
      <c r="W101" s="5">
        <v>78</v>
      </c>
      <c r="AA101" s="2"/>
      <c r="AJ101" s="4"/>
      <c r="AR101" s="4"/>
    </row>
    <row r="102" spans="4:44">
      <c r="D102" s="5">
        <v>-22.3</v>
      </c>
      <c r="E102" s="5">
        <v>126.92999999999999</v>
      </c>
      <c r="F102" s="5">
        <v>29.151</v>
      </c>
      <c r="G102" s="2">
        <v>4.4819999999999993</v>
      </c>
      <c r="H102" s="5">
        <f t="shared" si="4"/>
        <v>96.808625000000006</v>
      </c>
      <c r="I102" s="5">
        <f t="shared" si="5"/>
        <v>90</v>
      </c>
      <c r="K102" s="5">
        <v>-2.2999999999999998</v>
      </c>
      <c r="L102" s="5">
        <v>99</v>
      </c>
      <c r="M102" s="5">
        <v>31.966000000000001</v>
      </c>
      <c r="N102" s="5">
        <v>2.3559999999999999</v>
      </c>
      <c r="O102" s="5">
        <f t="shared" si="6"/>
        <v>81.158625000000001</v>
      </c>
      <c r="P102" s="5">
        <f t="shared" si="7"/>
        <v>81.158625000000001</v>
      </c>
      <c r="R102" s="5">
        <v>17.5</v>
      </c>
      <c r="S102" s="5">
        <v>-0.85999999999999988</v>
      </c>
      <c r="T102" s="5">
        <v>35.204999999999998</v>
      </c>
      <c r="U102" s="2">
        <v>0.41249999999999998</v>
      </c>
      <c r="V102" s="5">
        <v>78</v>
      </c>
      <c r="W102" s="5">
        <v>78</v>
      </c>
      <c r="AA102" s="2"/>
      <c r="AJ102" s="4"/>
      <c r="AR102" s="4"/>
    </row>
    <row r="103" spans="4:44">
      <c r="D103" s="5">
        <v>-22.375</v>
      </c>
      <c r="E103" s="5">
        <v>122.7825</v>
      </c>
      <c r="F103" s="5">
        <v>29.151</v>
      </c>
      <c r="G103" s="2">
        <v>4.4874999999999989</v>
      </c>
      <c r="H103" s="5">
        <f t="shared" si="4"/>
        <v>96.886132812499994</v>
      </c>
      <c r="I103" s="5">
        <f t="shared" si="5"/>
        <v>90</v>
      </c>
      <c r="K103" s="5">
        <v>-2.3250000000000002</v>
      </c>
      <c r="L103" s="5">
        <v>97.84</v>
      </c>
      <c r="M103" s="5">
        <v>31.966000000000001</v>
      </c>
      <c r="N103" s="5">
        <v>2.35425</v>
      </c>
      <c r="O103" s="5">
        <f t="shared" si="6"/>
        <v>81.1719453125</v>
      </c>
      <c r="P103" s="5">
        <f t="shared" si="7"/>
        <v>81.1719453125</v>
      </c>
      <c r="R103" s="5">
        <v>17.375</v>
      </c>
      <c r="S103" s="5">
        <v>-1.395</v>
      </c>
      <c r="T103" s="5">
        <v>35.204999999999998</v>
      </c>
      <c r="U103" s="2">
        <v>0.41262500000000002</v>
      </c>
      <c r="V103" s="5">
        <v>78</v>
      </c>
      <c r="W103" s="5">
        <v>78</v>
      </c>
      <c r="AA103" s="2"/>
      <c r="AJ103" s="4"/>
      <c r="AR103" s="4"/>
    </row>
    <row r="104" spans="4:44">
      <c r="D104" s="5">
        <v>-22.45</v>
      </c>
      <c r="E104" s="5">
        <v>118.63500000000001</v>
      </c>
      <c r="F104" s="5">
        <v>29.151</v>
      </c>
      <c r="G104" s="2">
        <v>4.4929999999999994</v>
      </c>
      <c r="H104" s="5">
        <f t="shared" si="4"/>
        <v>96.963781249999997</v>
      </c>
      <c r="I104" s="5">
        <f t="shared" si="5"/>
        <v>90</v>
      </c>
      <c r="K104" s="5">
        <v>-2.35</v>
      </c>
      <c r="L104" s="5">
        <v>96.679999999999993</v>
      </c>
      <c r="M104" s="5">
        <v>31.966000000000001</v>
      </c>
      <c r="N104" s="5">
        <v>2.3524999999999996</v>
      </c>
      <c r="O104" s="5">
        <f t="shared" si="6"/>
        <v>81.185281250000003</v>
      </c>
      <c r="P104" s="5">
        <f t="shared" si="7"/>
        <v>81.185281250000003</v>
      </c>
      <c r="R104" s="5">
        <v>17.25</v>
      </c>
      <c r="S104" s="5">
        <v>-1.9300000000000002</v>
      </c>
      <c r="T104" s="5">
        <v>35.204999999999998</v>
      </c>
      <c r="U104" s="2">
        <v>0.41275000000000001</v>
      </c>
      <c r="V104" s="5">
        <v>78</v>
      </c>
      <c r="W104" s="5">
        <v>78</v>
      </c>
      <c r="AA104" s="2"/>
      <c r="AJ104" s="4"/>
      <c r="AR104" s="4"/>
    </row>
    <row r="105" spans="4:44">
      <c r="D105" s="5">
        <v>-22.524999999999999</v>
      </c>
      <c r="E105" s="5">
        <v>114.48750000000001</v>
      </c>
      <c r="F105" s="5">
        <v>29.151</v>
      </c>
      <c r="G105" s="2">
        <v>4.4984999999999999</v>
      </c>
      <c r="H105" s="5">
        <f t="shared" si="4"/>
        <v>97.041570312499999</v>
      </c>
      <c r="I105" s="5">
        <f t="shared" si="5"/>
        <v>90</v>
      </c>
      <c r="K105" s="5">
        <v>-2.375</v>
      </c>
      <c r="L105" s="5">
        <v>95.52</v>
      </c>
      <c r="M105" s="5">
        <v>31.966000000000001</v>
      </c>
      <c r="N105" s="5">
        <v>2.3507499999999997</v>
      </c>
      <c r="O105" s="5">
        <f t="shared" si="6"/>
        <v>81.198632812499994</v>
      </c>
      <c r="P105" s="5">
        <f t="shared" si="7"/>
        <v>81.198632812499994</v>
      </c>
      <c r="R105" s="5">
        <v>17.125</v>
      </c>
      <c r="S105" s="5">
        <v>-2.4649999999999999</v>
      </c>
      <c r="T105" s="5">
        <v>35.204999999999998</v>
      </c>
      <c r="U105" s="2">
        <v>0.41287499999999999</v>
      </c>
      <c r="V105" s="5">
        <v>78</v>
      </c>
      <c r="W105" s="5">
        <v>78</v>
      </c>
      <c r="AA105" s="2"/>
      <c r="AJ105" s="4"/>
      <c r="AR105" s="4"/>
    </row>
    <row r="106" spans="4:44">
      <c r="D106" s="5">
        <v>-22.6</v>
      </c>
      <c r="E106" s="5">
        <v>110.34</v>
      </c>
      <c r="F106" s="5">
        <v>29.151</v>
      </c>
      <c r="G106" s="2">
        <v>4.5039999999999996</v>
      </c>
      <c r="H106" s="5">
        <f t="shared" si="4"/>
        <v>97.119500000000002</v>
      </c>
      <c r="I106" s="5">
        <f t="shared" si="5"/>
        <v>90</v>
      </c>
      <c r="K106" s="5">
        <v>-2.4</v>
      </c>
      <c r="L106" s="5">
        <v>94.36</v>
      </c>
      <c r="M106" s="5">
        <v>31.966000000000001</v>
      </c>
      <c r="N106" s="5">
        <v>2.3489999999999998</v>
      </c>
      <c r="O106" s="5">
        <f t="shared" si="6"/>
        <v>81.212000000000003</v>
      </c>
      <c r="P106" s="5">
        <f t="shared" si="7"/>
        <v>81.212000000000003</v>
      </c>
      <c r="R106" s="5">
        <v>17</v>
      </c>
      <c r="S106" s="5">
        <v>-3</v>
      </c>
      <c r="T106" s="5">
        <v>35.204999999999998</v>
      </c>
      <c r="U106" s="2">
        <v>0.41299999999999998</v>
      </c>
      <c r="V106" s="5">
        <v>78</v>
      </c>
      <c r="W106" s="5">
        <v>78</v>
      </c>
      <c r="AA106" s="2"/>
      <c r="AJ106" s="4"/>
      <c r="AR106" s="4"/>
    </row>
    <row r="107" spans="4:44">
      <c r="D107" s="5">
        <v>-22.675000000000001</v>
      </c>
      <c r="E107" s="5">
        <v>107.55250000000001</v>
      </c>
      <c r="F107" s="5">
        <v>29.151</v>
      </c>
      <c r="G107" s="2">
        <v>4.5307499999999994</v>
      </c>
      <c r="H107" s="5">
        <f t="shared" si="4"/>
        <v>97.197570312500005</v>
      </c>
      <c r="I107" s="5">
        <f t="shared" si="5"/>
        <v>90</v>
      </c>
      <c r="K107" s="5">
        <v>-2.375</v>
      </c>
      <c r="L107" s="5">
        <v>94.115000000000009</v>
      </c>
      <c r="M107" s="5">
        <v>31.966000000000001</v>
      </c>
      <c r="N107" s="5">
        <v>2.3485</v>
      </c>
      <c r="O107" s="5">
        <f t="shared" si="6"/>
        <v>81.198632812499994</v>
      </c>
      <c r="P107" s="5">
        <f t="shared" si="7"/>
        <v>81.198632812499994</v>
      </c>
      <c r="R107" s="5">
        <v>16.8</v>
      </c>
      <c r="S107" s="5">
        <v>-4.3275000000000006</v>
      </c>
      <c r="T107" s="5">
        <v>35.204999999999998</v>
      </c>
      <c r="U107" s="2">
        <v>0.41320000000000001</v>
      </c>
      <c r="V107" s="5">
        <v>78</v>
      </c>
      <c r="W107" s="5">
        <v>78</v>
      </c>
      <c r="AA107" s="2"/>
      <c r="AJ107" s="4"/>
      <c r="AR107" s="4"/>
    </row>
    <row r="108" spans="4:44">
      <c r="D108" s="5">
        <v>-22.75</v>
      </c>
      <c r="E108" s="5">
        <v>104.765</v>
      </c>
      <c r="F108" s="5">
        <v>29.151</v>
      </c>
      <c r="G108" s="2">
        <v>4.5574999999999992</v>
      </c>
      <c r="H108" s="5">
        <f t="shared" si="4"/>
        <v>97.275781249999994</v>
      </c>
      <c r="I108" s="5">
        <f t="shared" si="5"/>
        <v>90</v>
      </c>
      <c r="K108" s="5">
        <v>-2.35</v>
      </c>
      <c r="L108" s="5">
        <v>93.87</v>
      </c>
      <c r="M108" s="5">
        <v>31.966000000000001</v>
      </c>
      <c r="N108" s="5">
        <v>2.3479999999999999</v>
      </c>
      <c r="O108" s="5">
        <f t="shared" si="6"/>
        <v>81.185281250000003</v>
      </c>
      <c r="P108" s="5">
        <f t="shared" si="7"/>
        <v>81.185281250000003</v>
      </c>
      <c r="R108" s="5">
        <v>16.600000000000001</v>
      </c>
      <c r="S108" s="5">
        <v>-5.6549999999999994</v>
      </c>
      <c r="T108" s="5">
        <v>35.204999999999998</v>
      </c>
      <c r="U108" s="2">
        <v>0.41339999999999999</v>
      </c>
      <c r="V108" s="5">
        <v>78</v>
      </c>
      <c r="W108" s="5">
        <v>78</v>
      </c>
      <c r="AA108" s="2"/>
      <c r="AJ108" s="4"/>
      <c r="AR108" s="4"/>
    </row>
    <row r="109" spans="4:44">
      <c r="D109" s="5">
        <v>-22.824999999999999</v>
      </c>
      <c r="E109" s="5">
        <v>101.97749999999999</v>
      </c>
      <c r="F109" s="5">
        <v>29.151</v>
      </c>
      <c r="G109" s="2">
        <v>4.5842499999999999</v>
      </c>
      <c r="H109" s="5">
        <f t="shared" si="4"/>
        <v>97.354132812499998</v>
      </c>
      <c r="I109" s="5">
        <f t="shared" si="5"/>
        <v>90</v>
      </c>
      <c r="K109" s="5">
        <v>-2.3250000000000002</v>
      </c>
      <c r="L109" s="5">
        <v>93.624999999999986</v>
      </c>
      <c r="M109" s="5">
        <v>31.966000000000001</v>
      </c>
      <c r="N109" s="5">
        <v>2.3474999999999997</v>
      </c>
      <c r="O109" s="5">
        <f t="shared" si="6"/>
        <v>81.1719453125</v>
      </c>
      <c r="P109" s="5">
        <f t="shared" si="7"/>
        <v>81.1719453125</v>
      </c>
      <c r="R109" s="5">
        <v>16.399999999999999</v>
      </c>
      <c r="S109" s="5">
        <v>-6.982499999999999</v>
      </c>
      <c r="T109" s="5">
        <v>35.204999999999998</v>
      </c>
      <c r="U109" s="2">
        <v>0.41359999999999997</v>
      </c>
      <c r="V109" s="5">
        <v>78</v>
      </c>
      <c r="W109" s="5">
        <v>78</v>
      </c>
      <c r="AA109" s="2"/>
      <c r="AJ109" s="4"/>
      <c r="AR109" s="4"/>
    </row>
    <row r="110" spans="4:44">
      <c r="D110" s="5">
        <v>-22.9</v>
      </c>
      <c r="E110" s="5">
        <v>99.19</v>
      </c>
      <c r="F110" s="5">
        <v>29.151</v>
      </c>
      <c r="G110" s="2">
        <v>4.6109999999999998</v>
      </c>
      <c r="H110" s="5">
        <f t="shared" si="4"/>
        <v>97.432625000000002</v>
      </c>
      <c r="I110" s="5">
        <f t="shared" si="5"/>
        <v>90</v>
      </c>
      <c r="K110" s="5">
        <v>-2.2999999999999998</v>
      </c>
      <c r="L110" s="5">
        <v>93.38</v>
      </c>
      <c r="M110" s="5">
        <v>31.966000000000001</v>
      </c>
      <c r="N110" s="5">
        <v>2.347</v>
      </c>
      <c r="O110" s="5">
        <f t="shared" si="6"/>
        <v>81.158625000000001</v>
      </c>
      <c r="P110" s="5">
        <f t="shared" si="7"/>
        <v>81.158625000000001</v>
      </c>
      <c r="R110" s="5">
        <v>16.2</v>
      </c>
      <c r="S110" s="5">
        <v>-8.3099999999999987</v>
      </c>
      <c r="T110" s="5">
        <v>35.204999999999998</v>
      </c>
      <c r="U110" s="2">
        <v>0.4138</v>
      </c>
      <c r="V110" s="5">
        <v>78</v>
      </c>
      <c r="W110" s="5">
        <v>78</v>
      </c>
      <c r="AA110" s="2"/>
      <c r="AJ110" s="4"/>
      <c r="AR110" s="4"/>
    </row>
    <row r="111" spans="4:44">
      <c r="D111" s="5">
        <v>-22.95</v>
      </c>
      <c r="E111" s="5">
        <v>96.765000000000015</v>
      </c>
      <c r="F111" s="5">
        <v>29.151</v>
      </c>
      <c r="G111" s="2">
        <v>4.5804999999999998</v>
      </c>
      <c r="H111" s="5">
        <f t="shared" si="4"/>
        <v>97.485031249999992</v>
      </c>
      <c r="I111" s="5">
        <f t="shared" si="5"/>
        <v>90</v>
      </c>
      <c r="K111" s="5">
        <v>-2.2999999999999998</v>
      </c>
      <c r="L111" s="5">
        <v>92.687499999999986</v>
      </c>
      <c r="M111" s="5">
        <v>31.966000000000001</v>
      </c>
      <c r="N111" s="5">
        <v>2.1467499999999999</v>
      </c>
      <c r="O111" s="5">
        <f t="shared" si="6"/>
        <v>81.158625000000001</v>
      </c>
      <c r="P111" s="5">
        <f t="shared" si="7"/>
        <v>81.158625000000001</v>
      </c>
      <c r="R111" s="5">
        <v>16.125</v>
      </c>
      <c r="S111" s="5">
        <v>-8.7324999999999999</v>
      </c>
      <c r="T111" s="5">
        <v>35.204999999999998</v>
      </c>
      <c r="U111" s="2">
        <v>0.41387499999999999</v>
      </c>
      <c r="V111" s="5">
        <v>78</v>
      </c>
      <c r="W111" s="5">
        <v>78</v>
      </c>
      <c r="AA111" s="2"/>
      <c r="AJ111" s="4"/>
      <c r="AR111" s="4"/>
    </row>
    <row r="112" spans="4:44">
      <c r="D112" s="5">
        <v>-23</v>
      </c>
      <c r="E112" s="5">
        <v>94.34</v>
      </c>
      <c r="F112" s="5">
        <v>29.151</v>
      </c>
      <c r="G112" s="2">
        <v>4.55</v>
      </c>
      <c r="H112" s="5">
        <f t="shared" si="4"/>
        <v>97.537499999999994</v>
      </c>
      <c r="I112" s="5">
        <f t="shared" si="5"/>
        <v>90</v>
      </c>
      <c r="K112" s="5">
        <v>-2.2999999999999998</v>
      </c>
      <c r="L112" s="5">
        <v>91.995000000000005</v>
      </c>
      <c r="M112" s="5">
        <v>31.966000000000001</v>
      </c>
      <c r="N112" s="5">
        <v>1.9465000000000001</v>
      </c>
      <c r="O112" s="5">
        <f t="shared" si="6"/>
        <v>81.158625000000001</v>
      </c>
      <c r="P112" s="5">
        <f t="shared" si="7"/>
        <v>81.158625000000001</v>
      </c>
      <c r="R112" s="5">
        <v>16.05</v>
      </c>
      <c r="S112" s="5">
        <v>-9.1549999999999994</v>
      </c>
      <c r="T112" s="5">
        <v>35.204999999999998</v>
      </c>
      <c r="U112" s="2">
        <v>0.41394999999999998</v>
      </c>
      <c r="V112" s="5">
        <v>78</v>
      </c>
      <c r="W112" s="5">
        <v>78</v>
      </c>
      <c r="AA112" s="2"/>
      <c r="AJ112" s="4"/>
      <c r="AR112" s="4"/>
    </row>
    <row r="113" spans="4:44">
      <c r="D113" s="5">
        <v>-23.05</v>
      </c>
      <c r="E113" s="5">
        <v>91.914999999999992</v>
      </c>
      <c r="F113" s="5">
        <v>29.151</v>
      </c>
      <c r="G113" s="2">
        <v>4.5194999999999999</v>
      </c>
      <c r="H113" s="5">
        <f t="shared" si="4"/>
        <v>97.59003125000001</v>
      </c>
      <c r="I113" s="5">
        <f t="shared" si="5"/>
        <v>90</v>
      </c>
      <c r="K113" s="5">
        <v>-2.2999999999999998</v>
      </c>
      <c r="L113" s="5">
        <v>91.302500000000009</v>
      </c>
      <c r="M113" s="5">
        <v>31.966000000000001</v>
      </c>
      <c r="N113" s="5">
        <v>1.7462500000000001</v>
      </c>
      <c r="O113" s="5">
        <f t="shared" si="6"/>
        <v>81.158625000000001</v>
      </c>
      <c r="P113" s="5">
        <f t="shared" si="7"/>
        <v>81.158625000000001</v>
      </c>
      <c r="R113" s="5">
        <v>15.975</v>
      </c>
      <c r="S113" s="5">
        <v>-9.5775000000000006</v>
      </c>
      <c r="T113" s="5">
        <v>35.204999999999998</v>
      </c>
      <c r="U113" s="2">
        <v>0.41402499999999998</v>
      </c>
      <c r="V113" s="5">
        <v>78</v>
      </c>
      <c r="W113" s="5">
        <v>78</v>
      </c>
      <c r="AA113" s="2"/>
      <c r="AJ113" s="4"/>
      <c r="AR113" s="4"/>
    </row>
    <row r="114" spans="4:44">
      <c r="D114" s="5">
        <v>-23.1</v>
      </c>
      <c r="E114" s="5">
        <v>89.49</v>
      </c>
      <c r="F114" s="5">
        <v>29.151</v>
      </c>
      <c r="G114" s="2">
        <v>4.4889999999999999</v>
      </c>
      <c r="H114" s="5">
        <f t="shared" si="4"/>
        <v>97.64262500000001</v>
      </c>
      <c r="I114" s="5">
        <f t="shared" si="5"/>
        <v>90</v>
      </c>
      <c r="K114" s="5">
        <v>-2.2999999999999998</v>
      </c>
      <c r="L114" s="5">
        <v>90.61</v>
      </c>
      <c r="M114" s="5">
        <v>31.966000000000001</v>
      </c>
      <c r="N114" s="5">
        <v>1.546</v>
      </c>
      <c r="O114" s="5">
        <f t="shared" si="6"/>
        <v>81.158625000000001</v>
      </c>
      <c r="P114" s="5">
        <f t="shared" si="7"/>
        <v>81.158625000000001</v>
      </c>
      <c r="R114" s="5">
        <v>15.9</v>
      </c>
      <c r="S114" s="5">
        <v>-10</v>
      </c>
      <c r="T114" s="5">
        <v>35.204999999999998</v>
      </c>
      <c r="U114" s="2">
        <v>0.41409999999999997</v>
      </c>
      <c r="V114" s="5">
        <v>78</v>
      </c>
      <c r="W114" s="5">
        <v>78</v>
      </c>
      <c r="AA114" s="2"/>
      <c r="AJ114" s="4"/>
      <c r="AR114" s="4"/>
    </row>
    <row r="115" spans="4:44">
      <c r="D115" s="5">
        <v>-23</v>
      </c>
      <c r="E115" s="5">
        <v>94.867500000000007</v>
      </c>
      <c r="F115" s="5">
        <v>29.151</v>
      </c>
      <c r="G115" s="2">
        <v>4.5015000000000001</v>
      </c>
      <c r="H115" s="5">
        <f t="shared" si="4"/>
        <v>97.537499999999994</v>
      </c>
      <c r="I115" s="5">
        <f t="shared" si="5"/>
        <v>90</v>
      </c>
      <c r="K115" s="5">
        <v>-2.2749999999999999</v>
      </c>
      <c r="L115" s="5">
        <v>91.53</v>
      </c>
      <c r="M115" s="5">
        <v>31.966000000000001</v>
      </c>
      <c r="N115" s="5">
        <v>1.7457499999999999</v>
      </c>
      <c r="O115" s="5">
        <f t="shared" si="6"/>
        <v>81.145320312500004</v>
      </c>
      <c r="P115" s="5">
        <f t="shared" si="7"/>
        <v>81.145320312500004</v>
      </c>
      <c r="R115" s="5">
        <v>15.875</v>
      </c>
      <c r="S115" s="5">
        <v>-9.9924999999999997</v>
      </c>
      <c r="T115" s="5">
        <v>35.204999999999998</v>
      </c>
      <c r="U115" s="2">
        <v>0.41412499999999997</v>
      </c>
      <c r="V115" s="5">
        <v>78</v>
      </c>
      <c r="W115" s="5">
        <v>78</v>
      </c>
      <c r="AA115" s="2"/>
      <c r="AJ115" s="4"/>
      <c r="AR115" s="4"/>
    </row>
    <row r="116" spans="4:44">
      <c r="D116" s="5">
        <v>-22.9</v>
      </c>
      <c r="E116" s="5">
        <v>100.245</v>
      </c>
      <c r="F116" s="5">
        <v>29.151</v>
      </c>
      <c r="G116" s="2">
        <v>4.5139999999999993</v>
      </c>
      <c r="H116" s="5">
        <f t="shared" si="4"/>
        <v>97.432625000000002</v>
      </c>
      <c r="I116" s="5">
        <f t="shared" si="5"/>
        <v>90</v>
      </c>
      <c r="K116" s="5">
        <v>-2.25</v>
      </c>
      <c r="L116" s="5">
        <v>92.450000000000017</v>
      </c>
      <c r="M116" s="5">
        <v>31.966000000000001</v>
      </c>
      <c r="N116" s="5">
        <v>1.9455</v>
      </c>
      <c r="O116" s="5">
        <f t="shared" si="6"/>
        <v>81.132031249999997</v>
      </c>
      <c r="P116" s="5">
        <f t="shared" si="7"/>
        <v>81.132031249999997</v>
      </c>
      <c r="R116" s="5">
        <v>15.85</v>
      </c>
      <c r="S116" s="5">
        <v>-9.9849999999999994</v>
      </c>
      <c r="T116" s="5">
        <v>35.204999999999998</v>
      </c>
      <c r="U116" s="2">
        <v>0.41415000000000002</v>
      </c>
      <c r="V116" s="5">
        <v>78</v>
      </c>
      <c r="W116" s="5">
        <v>78</v>
      </c>
      <c r="AA116" s="2"/>
      <c r="AJ116" s="4"/>
      <c r="AR116" s="4"/>
    </row>
    <row r="117" spans="4:44">
      <c r="D117" s="5">
        <v>-22.8</v>
      </c>
      <c r="E117" s="5">
        <v>105.6225</v>
      </c>
      <c r="F117" s="5">
        <v>29.151</v>
      </c>
      <c r="G117" s="2">
        <v>4.5264999999999995</v>
      </c>
      <c r="H117" s="5">
        <f t="shared" si="4"/>
        <v>97.328000000000003</v>
      </c>
      <c r="I117" s="5">
        <f t="shared" si="5"/>
        <v>90</v>
      </c>
      <c r="K117" s="5">
        <v>-2.2250000000000001</v>
      </c>
      <c r="L117" s="5">
        <v>93.37</v>
      </c>
      <c r="M117" s="5">
        <v>31.966000000000001</v>
      </c>
      <c r="N117" s="5">
        <v>2.1452499999999999</v>
      </c>
      <c r="O117" s="5">
        <f t="shared" si="6"/>
        <v>81.118757812499993</v>
      </c>
      <c r="P117" s="5">
        <f t="shared" si="7"/>
        <v>81.118757812499993</v>
      </c>
      <c r="R117" s="5">
        <v>15.824999999999999</v>
      </c>
      <c r="S117" s="5">
        <v>-9.9775000000000009</v>
      </c>
      <c r="T117" s="5">
        <v>35.204999999999998</v>
      </c>
      <c r="U117" s="2">
        <v>0.41417500000000002</v>
      </c>
      <c r="V117" s="5">
        <v>78</v>
      </c>
      <c r="W117" s="5">
        <v>78</v>
      </c>
      <c r="AA117" s="2"/>
      <c r="AJ117" s="4"/>
      <c r="AR117" s="4"/>
    </row>
    <row r="118" spans="4:44">
      <c r="D118" s="5">
        <v>-22.7</v>
      </c>
      <c r="E118" s="5">
        <v>111</v>
      </c>
      <c r="F118" s="5">
        <v>29.151</v>
      </c>
      <c r="G118" s="2">
        <v>4.5389999999999997</v>
      </c>
      <c r="H118" s="5">
        <f t="shared" si="4"/>
        <v>97.223624999999998</v>
      </c>
      <c r="I118" s="5">
        <f t="shared" si="5"/>
        <v>90</v>
      </c>
      <c r="K118" s="5">
        <v>-2.2000000000000002</v>
      </c>
      <c r="L118" s="5">
        <v>94.29</v>
      </c>
      <c r="M118" s="5">
        <v>31.966000000000001</v>
      </c>
      <c r="N118" s="5">
        <v>2.3449999999999998</v>
      </c>
      <c r="O118" s="5">
        <f t="shared" si="6"/>
        <v>81.105500000000006</v>
      </c>
      <c r="P118" s="5">
        <f t="shared" si="7"/>
        <v>81.105500000000006</v>
      </c>
      <c r="R118" s="5">
        <v>15.8</v>
      </c>
      <c r="S118" s="5">
        <v>-9.9700000000000006</v>
      </c>
      <c r="T118" s="5">
        <v>35.204999999999998</v>
      </c>
      <c r="U118" s="2">
        <v>0.41420000000000001</v>
      </c>
      <c r="V118" s="5">
        <v>78</v>
      </c>
      <c r="W118" s="5">
        <v>78</v>
      </c>
      <c r="AA118" s="2"/>
      <c r="AJ118" s="4"/>
      <c r="AR118" s="4"/>
    </row>
    <row r="119" spans="4:44">
      <c r="D119" s="5">
        <v>-22.774999999999999</v>
      </c>
      <c r="E119" s="5">
        <v>124.63749999999999</v>
      </c>
      <c r="F119" s="5">
        <v>29.151</v>
      </c>
      <c r="G119" s="2">
        <v>4.5459999999999994</v>
      </c>
      <c r="H119" s="5">
        <f t="shared" si="4"/>
        <v>97.301882812499997</v>
      </c>
      <c r="I119" s="5">
        <f t="shared" si="5"/>
        <v>90</v>
      </c>
      <c r="K119" s="5">
        <v>-2.1749999999999998</v>
      </c>
      <c r="L119" s="5">
        <v>96.084999999999994</v>
      </c>
      <c r="M119" s="5">
        <v>31.966000000000001</v>
      </c>
      <c r="N119" s="5">
        <v>2.3562499999999997</v>
      </c>
      <c r="O119" s="5">
        <f t="shared" si="6"/>
        <v>81.092257812499994</v>
      </c>
      <c r="P119" s="5">
        <f t="shared" si="7"/>
        <v>81.092257812499994</v>
      </c>
      <c r="R119" s="5">
        <v>15.824999999999999</v>
      </c>
      <c r="S119" s="5">
        <v>-8.0950000000000006</v>
      </c>
      <c r="T119" s="5">
        <v>35.204999999999998</v>
      </c>
      <c r="U119" s="2">
        <v>0.41417500000000002</v>
      </c>
      <c r="V119" s="5">
        <v>78</v>
      </c>
      <c r="W119" s="5">
        <v>78</v>
      </c>
      <c r="AA119" s="2"/>
      <c r="AJ119" s="4"/>
      <c r="AR119" s="4"/>
    </row>
    <row r="120" spans="4:44">
      <c r="D120" s="5">
        <v>-22.85</v>
      </c>
      <c r="E120" s="5">
        <v>138.27500000000001</v>
      </c>
      <c r="F120" s="5">
        <v>29.151</v>
      </c>
      <c r="G120" s="2">
        <v>4.552999999999999</v>
      </c>
      <c r="H120" s="5">
        <f t="shared" si="4"/>
        <v>97.380281249999996</v>
      </c>
      <c r="I120" s="5">
        <f t="shared" si="5"/>
        <v>90</v>
      </c>
      <c r="K120" s="5">
        <v>-2.15</v>
      </c>
      <c r="L120" s="5">
        <v>97.88</v>
      </c>
      <c r="M120" s="5">
        <v>31.966000000000001</v>
      </c>
      <c r="N120" s="5">
        <v>2.3674999999999997</v>
      </c>
      <c r="O120" s="5">
        <f t="shared" si="6"/>
        <v>81.07903125</v>
      </c>
      <c r="P120" s="5">
        <f t="shared" si="7"/>
        <v>81.07903125</v>
      </c>
      <c r="R120" s="5">
        <v>15.85</v>
      </c>
      <c r="S120" s="5">
        <v>-6.22</v>
      </c>
      <c r="T120" s="5">
        <v>35.204999999999998</v>
      </c>
      <c r="U120" s="2">
        <v>0.41415000000000002</v>
      </c>
      <c r="V120" s="5">
        <v>78</v>
      </c>
      <c r="W120" s="5">
        <v>78</v>
      </c>
      <c r="AA120" s="2"/>
      <c r="AJ120" s="4"/>
      <c r="AR120" s="4"/>
    </row>
    <row r="121" spans="4:44">
      <c r="D121" s="5">
        <v>-22.925000000000001</v>
      </c>
      <c r="E121" s="5">
        <v>151.91249999999999</v>
      </c>
      <c r="F121" s="5">
        <v>29.151</v>
      </c>
      <c r="G121" s="2">
        <v>4.5599999999999996</v>
      </c>
      <c r="H121" s="5">
        <f t="shared" si="4"/>
        <v>97.458820312499995</v>
      </c>
      <c r="I121" s="5">
        <f t="shared" si="5"/>
        <v>90</v>
      </c>
      <c r="K121" s="5">
        <v>-2.125</v>
      </c>
      <c r="L121" s="5">
        <v>99.675000000000011</v>
      </c>
      <c r="M121" s="5">
        <v>31.966000000000001</v>
      </c>
      <c r="N121" s="5">
        <v>2.3787499999999997</v>
      </c>
      <c r="O121" s="5">
        <f t="shared" si="6"/>
        <v>81.065820312499994</v>
      </c>
      <c r="P121" s="5">
        <f t="shared" si="7"/>
        <v>81.065820312499994</v>
      </c>
      <c r="R121" s="5">
        <v>15.875</v>
      </c>
      <c r="S121" s="5">
        <v>-4.3449999999999998</v>
      </c>
      <c r="T121" s="5">
        <v>35.204999999999998</v>
      </c>
      <c r="U121" s="2">
        <v>0.41412499999999997</v>
      </c>
      <c r="V121" s="5">
        <v>78</v>
      </c>
      <c r="W121" s="5">
        <v>78</v>
      </c>
      <c r="AA121" s="2"/>
      <c r="AJ121" s="4"/>
      <c r="AR121" s="4"/>
    </row>
    <row r="122" spans="4:44">
      <c r="D122" s="5">
        <v>-23</v>
      </c>
      <c r="E122" s="5">
        <v>165.55</v>
      </c>
      <c r="F122" s="5">
        <v>29.151</v>
      </c>
      <c r="G122" s="2">
        <v>4.5669999999999993</v>
      </c>
      <c r="H122" s="5">
        <f t="shared" si="4"/>
        <v>97.537499999999994</v>
      </c>
      <c r="I122" s="5">
        <f t="shared" si="5"/>
        <v>90</v>
      </c>
      <c r="K122" s="5">
        <v>-2.1</v>
      </c>
      <c r="L122" s="5">
        <v>101.47</v>
      </c>
      <c r="M122" s="5">
        <v>31.966000000000001</v>
      </c>
      <c r="N122" s="5">
        <v>2.3899999999999997</v>
      </c>
      <c r="O122" s="5">
        <f t="shared" si="6"/>
        <v>81.052625000000006</v>
      </c>
      <c r="P122" s="5">
        <f t="shared" si="7"/>
        <v>81.052625000000006</v>
      </c>
      <c r="R122" s="5">
        <v>15.9</v>
      </c>
      <c r="S122" s="5">
        <v>-2.4699999999999998</v>
      </c>
      <c r="T122" s="5">
        <v>35.204999999999998</v>
      </c>
      <c r="U122" s="2">
        <v>0.41409999999999997</v>
      </c>
      <c r="V122" s="5">
        <v>78</v>
      </c>
      <c r="W122" s="5">
        <v>78</v>
      </c>
      <c r="AA122" s="2"/>
      <c r="AJ122" s="4"/>
      <c r="AR122" s="4"/>
    </row>
    <row r="123" spans="4:44">
      <c r="D123" s="5">
        <v>-23.1</v>
      </c>
      <c r="E123" s="5">
        <v>165.92500000000001</v>
      </c>
      <c r="F123" s="5">
        <v>29.151</v>
      </c>
      <c r="G123" s="2">
        <v>4.6389999999999993</v>
      </c>
      <c r="H123" s="5">
        <f t="shared" si="4"/>
        <v>97.64262500000001</v>
      </c>
      <c r="I123" s="5">
        <f t="shared" si="5"/>
        <v>90</v>
      </c>
      <c r="K123" s="5">
        <v>-2.0750000000000002</v>
      </c>
      <c r="L123" s="5">
        <v>107.61749999999999</v>
      </c>
      <c r="M123" s="5">
        <v>31.966000000000001</v>
      </c>
      <c r="N123" s="5">
        <v>2.4004999999999996</v>
      </c>
      <c r="O123" s="5">
        <f t="shared" si="6"/>
        <v>81.039445312500007</v>
      </c>
      <c r="P123" s="5">
        <f t="shared" si="7"/>
        <v>81.039445312500007</v>
      </c>
      <c r="R123" s="5">
        <v>16.125</v>
      </c>
      <c r="S123" s="5">
        <v>-2.0649999999999999</v>
      </c>
      <c r="T123" s="5">
        <v>35.204999999999998</v>
      </c>
      <c r="U123" s="2">
        <v>0.41387499999999999</v>
      </c>
      <c r="V123" s="5">
        <v>78</v>
      </c>
      <c r="W123" s="5">
        <v>78</v>
      </c>
      <c r="AA123" s="2"/>
      <c r="AJ123" s="4"/>
      <c r="AR123" s="4"/>
    </row>
    <row r="124" spans="4:44">
      <c r="D124" s="5">
        <v>-23.2</v>
      </c>
      <c r="E124" s="5">
        <v>166.29999999999998</v>
      </c>
      <c r="F124" s="5">
        <v>29.151</v>
      </c>
      <c r="G124" s="2">
        <v>4.7109999999999994</v>
      </c>
      <c r="H124" s="5">
        <f t="shared" si="4"/>
        <v>97.748000000000005</v>
      </c>
      <c r="I124" s="5">
        <f t="shared" si="5"/>
        <v>90</v>
      </c>
      <c r="K124" s="5">
        <v>-2.0499999999999998</v>
      </c>
      <c r="L124" s="5">
        <v>113.765</v>
      </c>
      <c r="M124" s="5">
        <v>31.966000000000001</v>
      </c>
      <c r="N124" s="5">
        <v>2.411</v>
      </c>
      <c r="O124" s="5">
        <f t="shared" si="6"/>
        <v>81.026281249999997</v>
      </c>
      <c r="P124" s="5">
        <f t="shared" si="7"/>
        <v>81.026281249999997</v>
      </c>
      <c r="R124" s="5">
        <v>16.350000000000001</v>
      </c>
      <c r="S124" s="5">
        <v>-1.6600000000000001</v>
      </c>
      <c r="T124" s="5">
        <v>35.204999999999998</v>
      </c>
      <c r="U124" s="2">
        <v>0.41365000000000002</v>
      </c>
      <c r="V124" s="5">
        <v>78</v>
      </c>
      <c r="W124" s="5">
        <v>78</v>
      </c>
      <c r="AA124" s="2"/>
      <c r="AJ124" s="4"/>
      <c r="AR124" s="4"/>
    </row>
    <row r="125" spans="4:44">
      <c r="D125" s="5">
        <v>-23.3</v>
      </c>
      <c r="E125" s="5">
        <v>166.67500000000001</v>
      </c>
      <c r="F125" s="5">
        <v>29.151</v>
      </c>
      <c r="G125" s="2">
        <v>4.7829999999999995</v>
      </c>
      <c r="H125" s="5">
        <f t="shared" si="4"/>
        <v>97.853624999999994</v>
      </c>
      <c r="I125" s="5">
        <f t="shared" si="5"/>
        <v>90</v>
      </c>
      <c r="K125" s="5">
        <v>-2.0249999999999999</v>
      </c>
      <c r="L125" s="5">
        <v>119.91250000000001</v>
      </c>
      <c r="M125" s="5">
        <v>31.966000000000001</v>
      </c>
      <c r="N125" s="5">
        <v>2.4215</v>
      </c>
      <c r="O125" s="5">
        <f t="shared" si="6"/>
        <v>81.013132812500004</v>
      </c>
      <c r="P125" s="5">
        <f t="shared" si="7"/>
        <v>81.013132812500004</v>
      </c>
      <c r="R125" s="5">
        <v>16.574999999999999</v>
      </c>
      <c r="S125" s="5">
        <v>-1.2549999999999999</v>
      </c>
      <c r="T125" s="5">
        <v>35.204999999999998</v>
      </c>
      <c r="U125" s="2">
        <v>0.41342499999999999</v>
      </c>
      <c r="V125" s="5">
        <v>78</v>
      </c>
      <c r="W125" s="5">
        <v>78</v>
      </c>
      <c r="AA125" s="2"/>
      <c r="AJ125" s="4"/>
      <c r="AR125" s="4"/>
    </row>
    <row r="126" spans="4:44">
      <c r="D126" s="5">
        <v>-23.4</v>
      </c>
      <c r="E126" s="5">
        <v>167.04999999999998</v>
      </c>
      <c r="F126" s="5">
        <v>29.151</v>
      </c>
      <c r="G126" s="2">
        <v>4.8549999999999995</v>
      </c>
      <c r="H126" s="5">
        <f t="shared" si="4"/>
        <v>97.959499999999991</v>
      </c>
      <c r="I126" s="5">
        <f t="shared" si="5"/>
        <v>90</v>
      </c>
      <c r="K126" s="5">
        <v>-2</v>
      </c>
      <c r="L126" s="5">
        <v>126.06</v>
      </c>
      <c r="M126" s="5">
        <v>31.966000000000001</v>
      </c>
      <c r="N126" s="5">
        <v>2.4319999999999999</v>
      </c>
      <c r="O126" s="5">
        <f t="shared" si="6"/>
        <v>81</v>
      </c>
      <c r="P126" s="5">
        <f t="shared" si="7"/>
        <v>81</v>
      </c>
      <c r="R126" s="5">
        <v>16.8</v>
      </c>
      <c r="S126" s="5">
        <v>-0.85000000000000009</v>
      </c>
      <c r="T126" s="5">
        <v>35.204999999999998</v>
      </c>
      <c r="U126" s="2">
        <v>0.41320000000000001</v>
      </c>
      <c r="V126" s="5">
        <v>78</v>
      </c>
      <c r="W126" s="5">
        <v>78</v>
      </c>
      <c r="AA126" s="2"/>
      <c r="AJ126" s="4"/>
      <c r="AR126" s="4"/>
    </row>
    <row r="127" spans="4:44">
      <c r="D127" s="5">
        <v>-23.324999999999999</v>
      </c>
      <c r="E127" s="5">
        <v>166.08750000000001</v>
      </c>
      <c r="F127" s="5">
        <v>29.151</v>
      </c>
      <c r="G127" s="2">
        <v>4.8962499999999993</v>
      </c>
      <c r="H127" s="5">
        <f t="shared" si="4"/>
        <v>97.880070312499996</v>
      </c>
      <c r="I127" s="5">
        <f t="shared" si="5"/>
        <v>90</v>
      </c>
      <c r="K127" s="5">
        <v>-1.9</v>
      </c>
      <c r="L127" s="5">
        <v>135.255</v>
      </c>
      <c r="M127" s="5">
        <v>31.966000000000001</v>
      </c>
      <c r="N127" s="5">
        <v>2.45675</v>
      </c>
      <c r="O127" s="5">
        <f t="shared" si="6"/>
        <v>80.947625000000002</v>
      </c>
      <c r="P127" s="5">
        <f t="shared" si="7"/>
        <v>80.947625000000002</v>
      </c>
      <c r="R127" s="5">
        <v>17.2</v>
      </c>
      <c r="S127" s="5">
        <v>-0.66500000000000004</v>
      </c>
      <c r="T127" s="5">
        <v>35.204999999999998</v>
      </c>
      <c r="U127" s="2">
        <v>0.4128</v>
      </c>
      <c r="V127" s="5">
        <v>78</v>
      </c>
      <c r="W127" s="5">
        <v>78</v>
      </c>
      <c r="AA127" s="2"/>
      <c r="AJ127" s="4"/>
      <c r="AR127" s="4"/>
    </row>
    <row r="128" spans="4:44">
      <c r="D128" s="5">
        <v>-23.25</v>
      </c>
      <c r="E128" s="5">
        <v>165.125</v>
      </c>
      <c r="F128" s="5">
        <v>29.151</v>
      </c>
      <c r="G128" s="2">
        <v>4.9375</v>
      </c>
      <c r="H128" s="5">
        <f t="shared" si="4"/>
        <v>97.80078125</v>
      </c>
      <c r="I128" s="5">
        <f t="shared" si="5"/>
        <v>90</v>
      </c>
      <c r="K128" s="5">
        <v>-1.8</v>
      </c>
      <c r="L128" s="5">
        <v>144.44999999999999</v>
      </c>
      <c r="M128" s="5">
        <v>31.966000000000001</v>
      </c>
      <c r="N128" s="5">
        <v>2.4815</v>
      </c>
      <c r="O128" s="5">
        <f t="shared" si="6"/>
        <v>80.895499999999998</v>
      </c>
      <c r="P128" s="5">
        <f t="shared" si="7"/>
        <v>80.895499999999998</v>
      </c>
      <c r="R128" s="5">
        <v>17.600000000000001</v>
      </c>
      <c r="S128" s="5">
        <v>-0.48</v>
      </c>
      <c r="T128" s="5">
        <v>35.204999999999998</v>
      </c>
      <c r="U128" s="2">
        <v>0.42499999999999999</v>
      </c>
      <c r="V128" s="5">
        <v>78</v>
      </c>
      <c r="W128" s="5">
        <v>78</v>
      </c>
      <c r="AA128" s="2"/>
      <c r="AJ128" s="4"/>
      <c r="AR128" s="4"/>
    </row>
    <row r="129" spans="4:44">
      <c r="D129" s="5">
        <v>-23.175000000000001</v>
      </c>
      <c r="E129" s="5">
        <v>164.16250000000002</v>
      </c>
      <c r="F129" s="5">
        <v>29.151</v>
      </c>
      <c r="G129" s="2">
        <v>4.9787499999999998</v>
      </c>
      <c r="H129" s="5">
        <f t="shared" si="4"/>
        <v>97.721632812500005</v>
      </c>
      <c r="I129" s="5">
        <f t="shared" si="5"/>
        <v>90</v>
      </c>
      <c r="K129" s="5">
        <v>-1.7</v>
      </c>
      <c r="L129" s="5">
        <v>153.64499999999998</v>
      </c>
      <c r="M129" s="5">
        <v>31.966000000000001</v>
      </c>
      <c r="N129" s="5">
        <v>2.5062499999999996</v>
      </c>
      <c r="O129" s="5">
        <f t="shared" si="6"/>
        <v>80.843625000000003</v>
      </c>
      <c r="P129" s="5">
        <f t="shared" si="7"/>
        <v>80.843625000000003</v>
      </c>
      <c r="R129" s="5">
        <v>18</v>
      </c>
      <c r="S129" s="5">
        <v>-0.29499999999999998</v>
      </c>
      <c r="T129" s="5">
        <v>35.204999999999998</v>
      </c>
      <c r="U129" s="2">
        <v>0.53549999999999998</v>
      </c>
      <c r="V129" s="5">
        <v>78</v>
      </c>
      <c r="W129" s="5">
        <v>78</v>
      </c>
      <c r="AA129" s="2"/>
      <c r="AJ129" s="4"/>
      <c r="AR129" s="4"/>
    </row>
    <row r="130" spans="4:44">
      <c r="D130" s="5">
        <v>-23.1</v>
      </c>
      <c r="E130" s="5">
        <v>163.19999999999999</v>
      </c>
      <c r="F130" s="5">
        <v>29.151</v>
      </c>
      <c r="G130" s="2">
        <v>5.0199999999999996</v>
      </c>
      <c r="H130" s="5">
        <f t="shared" si="4"/>
        <v>97.64262500000001</v>
      </c>
      <c r="I130" s="5">
        <f t="shared" si="5"/>
        <v>90</v>
      </c>
      <c r="K130" s="5">
        <v>-1.6</v>
      </c>
      <c r="L130" s="5">
        <v>162.83999999999997</v>
      </c>
      <c r="M130" s="5">
        <v>31.966000000000001</v>
      </c>
      <c r="N130" s="5">
        <v>2.5309999999999997</v>
      </c>
      <c r="O130" s="5">
        <f t="shared" si="6"/>
        <v>80.792000000000002</v>
      </c>
      <c r="P130" s="5">
        <f t="shared" si="7"/>
        <v>80.792000000000002</v>
      </c>
      <c r="R130" s="5">
        <v>18.399999999999999</v>
      </c>
      <c r="S130" s="5">
        <v>-0.10999999999999999</v>
      </c>
      <c r="T130" s="5">
        <v>35.204999999999998</v>
      </c>
      <c r="U130" s="2">
        <v>0.64600000000000002</v>
      </c>
      <c r="V130" s="5">
        <v>78</v>
      </c>
      <c r="W130" s="5">
        <v>78</v>
      </c>
      <c r="AA130" s="2"/>
      <c r="AJ130" s="4"/>
      <c r="AR130" s="4"/>
    </row>
    <row r="131" spans="4:44">
      <c r="D131" s="5">
        <v>-22.925000000000001</v>
      </c>
      <c r="E131" s="5">
        <v>163.86500000000001</v>
      </c>
      <c r="F131" s="5">
        <v>29.151</v>
      </c>
      <c r="G131" s="2">
        <v>5.1149999999999993</v>
      </c>
      <c r="H131" s="5">
        <f t="shared" ref="H131:H194" si="8">IF(D131&lt;0,0.0125*D131^2-0.475*D131+80,80)</f>
        <v>97.458820312499995</v>
      </c>
      <c r="I131" s="5">
        <f t="shared" ref="I131:I194" si="9">IF(H131&lt;90,H131,90)</f>
        <v>90</v>
      </c>
      <c r="K131" s="5">
        <v>-1.45</v>
      </c>
      <c r="L131" s="5">
        <v>162.1925</v>
      </c>
      <c r="M131" s="5">
        <v>31.966000000000001</v>
      </c>
      <c r="N131" s="5">
        <v>2.5129999999999995</v>
      </c>
      <c r="O131" s="5">
        <f t="shared" ref="O131:O194" si="10">IF(K131&lt;0,0.0125*K131^2-0.475*K131+80,780)</f>
        <v>80.715031249999996</v>
      </c>
      <c r="P131" s="5">
        <f t="shared" ref="P131:P194" si="11">IF(O131&lt;90,O131,90)</f>
        <v>80.715031249999996</v>
      </c>
      <c r="R131" s="5">
        <v>18.625</v>
      </c>
      <c r="S131" s="5">
        <v>-8.2500000000000004E-2</v>
      </c>
      <c r="T131" s="5">
        <v>35.204999999999998</v>
      </c>
      <c r="U131" s="2">
        <v>0.64600000000000002</v>
      </c>
      <c r="V131" s="5">
        <v>78</v>
      </c>
      <c r="W131" s="5">
        <v>78</v>
      </c>
      <c r="AA131" s="2"/>
      <c r="AJ131" s="4"/>
      <c r="AR131" s="4"/>
    </row>
    <row r="132" spans="4:44">
      <c r="D132" s="5">
        <v>-22.75</v>
      </c>
      <c r="E132" s="5">
        <v>164.53</v>
      </c>
      <c r="F132" s="5">
        <v>29.151</v>
      </c>
      <c r="G132" s="2">
        <v>5.2099999999999991</v>
      </c>
      <c r="H132" s="5">
        <f t="shared" si="8"/>
        <v>97.275781249999994</v>
      </c>
      <c r="I132" s="5">
        <f t="shared" si="9"/>
        <v>90</v>
      </c>
      <c r="K132" s="5">
        <v>-1.3</v>
      </c>
      <c r="L132" s="5">
        <v>161.54499999999999</v>
      </c>
      <c r="M132" s="5">
        <v>31.966000000000001</v>
      </c>
      <c r="N132" s="5">
        <v>2.4949999999999997</v>
      </c>
      <c r="O132" s="5">
        <f t="shared" si="10"/>
        <v>80.638625000000005</v>
      </c>
      <c r="P132" s="5">
        <f t="shared" si="11"/>
        <v>80.638625000000005</v>
      </c>
      <c r="R132" s="5">
        <v>18.850000000000001</v>
      </c>
      <c r="S132" s="5">
        <v>-5.4999999999999993E-2</v>
      </c>
      <c r="T132" s="5">
        <v>35.204999999999998</v>
      </c>
      <c r="U132" s="2">
        <v>0.64600000000000002</v>
      </c>
      <c r="V132" s="5">
        <v>78</v>
      </c>
      <c r="W132" s="5">
        <v>78</v>
      </c>
      <c r="AA132" s="2"/>
      <c r="AJ132" s="4"/>
      <c r="AR132" s="4"/>
    </row>
    <row r="133" spans="4:44">
      <c r="D133" s="5">
        <v>-22.574999999999999</v>
      </c>
      <c r="E133" s="5">
        <v>165.19499999999999</v>
      </c>
      <c r="F133" s="5">
        <v>29.151</v>
      </c>
      <c r="G133" s="2">
        <v>5.3049999999999997</v>
      </c>
      <c r="H133" s="5">
        <f t="shared" si="8"/>
        <v>97.093507812500008</v>
      </c>
      <c r="I133" s="5">
        <f t="shared" si="9"/>
        <v>90</v>
      </c>
      <c r="K133" s="5">
        <v>-1.1499999999999999</v>
      </c>
      <c r="L133" s="5">
        <v>160.89749999999998</v>
      </c>
      <c r="M133" s="5">
        <v>31.966000000000001</v>
      </c>
      <c r="N133" s="5">
        <v>2.4769999999999999</v>
      </c>
      <c r="O133" s="5">
        <f t="shared" si="10"/>
        <v>80.56278125</v>
      </c>
      <c r="P133" s="5">
        <f t="shared" si="11"/>
        <v>80.56278125</v>
      </c>
      <c r="R133" s="5">
        <v>19.074999999999999</v>
      </c>
      <c r="S133" s="5">
        <v>-2.749999999999999E-2</v>
      </c>
      <c r="T133" s="5">
        <v>35.204999999999998</v>
      </c>
      <c r="U133" s="2">
        <v>0.64600000000000002</v>
      </c>
      <c r="V133" s="5">
        <v>78</v>
      </c>
      <c r="W133" s="5">
        <v>78</v>
      </c>
      <c r="AA133" s="2"/>
      <c r="AJ133" s="4"/>
      <c r="AR133" s="4"/>
    </row>
    <row r="134" spans="4:44">
      <c r="D134" s="5">
        <v>-22.4</v>
      </c>
      <c r="E134" s="5">
        <v>165.85999999999999</v>
      </c>
      <c r="F134" s="5">
        <v>29.151</v>
      </c>
      <c r="G134" s="2">
        <v>5.3999999999999995</v>
      </c>
      <c r="H134" s="5">
        <f t="shared" si="8"/>
        <v>96.912000000000006</v>
      </c>
      <c r="I134" s="5">
        <f t="shared" si="9"/>
        <v>90</v>
      </c>
      <c r="K134" s="5">
        <v>-1</v>
      </c>
      <c r="L134" s="5">
        <v>160.25</v>
      </c>
      <c r="M134" s="5">
        <v>31.966000000000001</v>
      </c>
      <c r="N134" s="5">
        <v>2.4589999999999996</v>
      </c>
      <c r="O134" s="5">
        <f t="shared" si="10"/>
        <v>80.487499999999997</v>
      </c>
      <c r="P134" s="5">
        <f t="shared" si="11"/>
        <v>80.487499999999997</v>
      </c>
      <c r="R134" s="5">
        <v>19.3</v>
      </c>
      <c r="S134" s="5">
        <v>0</v>
      </c>
      <c r="T134" s="5">
        <v>35.204999999999998</v>
      </c>
      <c r="U134" s="2">
        <v>0.64600000000000002</v>
      </c>
      <c r="V134" s="5">
        <v>78</v>
      </c>
      <c r="W134" s="5">
        <v>78</v>
      </c>
      <c r="AA134" s="2"/>
      <c r="AJ134" s="4"/>
      <c r="AR134" s="4"/>
    </row>
    <row r="135" spans="4:44">
      <c r="D135" s="5">
        <v>-22.225000000000001</v>
      </c>
      <c r="E135" s="5">
        <v>159.595</v>
      </c>
      <c r="F135" s="5">
        <v>29.151</v>
      </c>
      <c r="G135" s="2">
        <v>5.3662499999999991</v>
      </c>
      <c r="H135" s="5">
        <f t="shared" si="8"/>
        <v>96.731257812500004</v>
      </c>
      <c r="I135" s="5">
        <f t="shared" si="9"/>
        <v>90</v>
      </c>
      <c r="K135" s="5">
        <v>-0.72499999999999998</v>
      </c>
      <c r="L135" s="5">
        <v>155.16999999999999</v>
      </c>
      <c r="M135" s="5">
        <v>31.966000000000001</v>
      </c>
      <c r="N135" s="5">
        <v>2.4352499999999995</v>
      </c>
      <c r="O135" s="5">
        <f t="shared" si="10"/>
        <v>80.350945312500002</v>
      </c>
      <c r="P135" s="5">
        <f t="shared" si="11"/>
        <v>80.350945312500002</v>
      </c>
      <c r="R135" s="5">
        <v>19.475000000000001</v>
      </c>
      <c r="S135" s="5">
        <v>0</v>
      </c>
      <c r="T135" s="5">
        <v>35.204999999999998</v>
      </c>
      <c r="U135" s="2">
        <v>0.66849999999999998</v>
      </c>
      <c r="V135" s="5">
        <v>78</v>
      </c>
      <c r="W135" s="5">
        <v>78</v>
      </c>
      <c r="AA135" s="2"/>
      <c r="AJ135" s="4"/>
      <c r="AR135" s="4"/>
    </row>
    <row r="136" spans="4:44">
      <c r="D136" s="5">
        <v>-22.05</v>
      </c>
      <c r="E136" s="5">
        <v>153.33000000000001</v>
      </c>
      <c r="F136" s="5">
        <v>29.151</v>
      </c>
      <c r="G136" s="2">
        <v>5.3324999999999996</v>
      </c>
      <c r="H136" s="5">
        <f t="shared" si="8"/>
        <v>96.551281250000002</v>
      </c>
      <c r="I136" s="5">
        <f t="shared" si="9"/>
        <v>90</v>
      </c>
      <c r="K136" s="5">
        <v>-0.45</v>
      </c>
      <c r="L136" s="5">
        <v>150.09</v>
      </c>
      <c r="M136" s="5">
        <v>31.966000000000001</v>
      </c>
      <c r="N136" s="5">
        <v>2.4114999999999998</v>
      </c>
      <c r="O136" s="5">
        <f t="shared" si="10"/>
        <v>80.216281249999994</v>
      </c>
      <c r="P136" s="5">
        <f t="shared" si="11"/>
        <v>80.216281249999994</v>
      </c>
      <c r="R136" s="5">
        <v>19.649999999999999</v>
      </c>
      <c r="S136" s="5">
        <v>0</v>
      </c>
      <c r="T136" s="5">
        <v>35.204999999999998</v>
      </c>
      <c r="U136" s="2">
        <v>0.69099999999999995</v>
      </c>
      <c r="V136" s="5">
        <v>78</v>
      </c>
      <c r="W136" s="5">
        <v>78</v>
      </c>
      <c r="AA136" s="2"/>
      <c r="AJ136" s="4"/>
      <c r="AR136" s="4"/>
    </row>
    <row r="137" spans="4:44">
      <c r="D137" s="5">
        <v>-21.875</v>
      </c>
      <c r="E137" s="5">
        <v>147.065</v>
      </c>
      <c r="F137" s="5">
        <v>29.151</v>
      </c>
      <c r="G137" s="2">
        <v>5.2987500000000001</v>
      </c>
      <c r="H137" s="5">
        <f t="shared" si="8"/>
        <v>96.3720703125</v>
      </c>
      <c r="I137" s="5">
        <f t="shared" si="9"/>
        <v>90</v>
      </c>
      <c r="K137" s="5">
        <v>-0.17499999999999991</v>
      </c>
      <c r="L137" s="5">
        <v>145.01</v>
      </c>
      <c r="M137" s="5">
        <v>31.966000000000001</v>
      </c>
      <c r="N137" s="5">
        <v>2.38775</v>
      </c>
      <c r="O137" s="5">
        <f t="shared" si="10"/>
        <v>80.083507812500002</v>
      </c>
      <c r="P137" s="5">
        <f t="shared" si="11"/>
        <v>80.083507812500002</v>
      </c>
      <c r="R137" s="5">
        <v>19.824999999999999</v>
      </c>
      <c r="S137" s="5">
        <v>0</v>
      </c>
      <c r="T137" s="5">
        <v>35.204999999999998</v>
      </c>
      <c r="U137" s="2">
        <v>0.71350000000000002</v>
      </c>
      <c r="V137" s="5">
        <v>78</v>
      </c>
      <c r="W137" s="5">
        <v>78</v>
      </c>
      <c r="AA137" s="2"/>
      <c r="AJ137" s="4"/>
      <c r="AR137" s="4"/>
    </row>
    <row r="138" spans="4:44">
      <c r="D138" s="5">
        <v>-21.7</v>
      </c>
      <c r="E138" s="5">
        <v>140.80000000000001</v>
      </c>
      <c r="F138" s="5">
        <v>29.151</v>
      </c>
      <c r="G138" s="2">
        <v>5.2649999999999997</v>
      </c>
      <c r="H138" s="5">
        <f t="shared" si="8"/>
        <v>96.193624999999997</v>
      </c>
      <c r="I138" s="5">
        <f t="shared" si="9"/>
        <v>90</v>
      </c>
      <c r="K138" s="5">
        <v>0.1</v>
      </c>
      <c r="L138" s="5">
        <v>139.93</v>
      </c>
      <c r="M138" s="5">
        <v>31.966000000000001</v>
      </c>
      <c r="N138" s="5">
        <v>2.3639999999999999</v>
      </c>
      <c r="O138" s="5">
        <f t="shared" si="10"/>
        <v>780</v>
      </c>
      <c r="P138" s="5">
        <f t="shared" si="11"/>
        <v>90</v>
      </c>
      <c r="R138" s="5">
        <v>20</v>
      </c>
      <c r="S138" s="5">
        <v>0</v>
      </c>
      <c r="T138" s="5">
        <v>35.204999999999998</v>
      </c>
      <c r="U138" s="2">
        <v>0.73599999999999999</v>
      </c>
      <c r="V138" s="5">
        <v>78</v>
      </c>
      <c r="W138" s="5">
        <v>78</v>
      </c>
      <c r="AA138" s="2"/>
      <c r="AJ138" s="4"/>
      <c r="AR138" s="4"/>
    </row>
    <row r="139" spans="4:44">
      <c r="D139" s="5">
        <v>-21.324999999999999</v>
      </c>
      <c r="E139" s="5">
        <v>135.91499999999999</v>
      </c>
      <c r="F139" s="5">
        <v>29.151</v>
      </c>
      <c r="G139" s="2">
        <v>5.2359999999999998</v>
      </c>
      <c r="H139" s="5">
        <f t="shared" si="8"/>
        <v>95.813820312499999</v>
      </c>
      <c r="I139" s="5">
        <f t="shared" si="9"/>
        <v>90</v>
      </c>
      <c r="K139" s="5">
        <v>0.42499999999999988</v>
      </c>
      <c r="L139" s="5">
        <v>136.53</v>
      </c>
      <c r="M139" s="5">
        <v>31.966000000000001</v>
      </c>
      <c r="N139" s="5">
        <v>2.3142499999999999</v>
      </c>
      <c r="O139" s="5">
        <f t="shared" si="10"/>
        <v>780</v>
      </c>
      <c r="P139" s="5">
        <f t="shared" si="11"/>
        <v>90</v>
      </c>
      <c r="R139" s="5">
        <v>20.3</v>
      </c>
      <c r="S139" s="5">
        <v>-2.5000000000000001E-3</v>
      </c>
      <c r="T139" s="5">
        <v>35.204999999999998</v>
      </c>
      <c r="U139" s="2">
        <v>0.69850000000000001</v>
      </c>
      <c r="V139" s="5">
        <v>78</v>
      </c>
      <c r="W139" s="5">
        <v>78</v>
      </c>
      <c r="AA139" s="2"/>
      <c r="AJ139" s="4"/>
      <c r="AR139" s="4"/>
    </row>
    <row r="140" spans="4:44">
      <c r="D140" s="5">
        <v>-20.95</v>
      </c>
      <c r="E140" s="5">
        <v>131.03</v>
      </c>
      <c r="F140" s="5">
        <v>29.151</v>
      </c>
      <c r="G140" s="2">
        <v>5.2069999999999999</v>
      </c>
      <c r="H140" s="5">
        <f t="shared" si="8"/>
        <v>95.437531250000006</v>
      </c>
      <c r="I140" s="5">
        <f t="shared" si="9"/>
        <v>90</v>
      </c>
      <c r="K140" s="5">
        <v>0.74999999999999989</v>
      </c>
      <c r="L140" s="5">
        <v>133.13</v>
      </c>
      <c r="M140" s="5">
        <v>31.966000000000001</v>
      </c>
      <c r="N140" s="5">
        <v>2.2645</v>
      </c>
      <c r="O140" s="5">
        <f t="shared" si="10"/>
        <v>780</v>
      </c>
      <c r="P140" s="5">
        <f t="shared" si="11"/>
        <v>90</v>
      </c>
      <c r="R140" s="5">
        <v>20.6</v>
      </c>
      <c r="S140" s="5">
        <v>-5.0000000000000001E-3</v>
      </c>
      <c r="T140" s="5">
        <v>35.204999999999998</v>
      </c>
      <c r="U140" s="2">
        <v>0.66100000000000003</v>
      </c>
      <c r="V140" s="5">
        <v>78</v>
      </c>
      <c r="W140" s="5">
        <v>78</v>
      </c>
      <c r="AA140" s="2"/>
      <c r="AJ140" s="4"/>
      <c r="AR140" s="4"/>
    </row>
    <row r="141" spans="4:44">
      <c r="D141" s="5">
        <v>-20.574999999999999</v>
      </c>
      <c r="E141" s="5">
        <v>126.145</v>
      </c>
      <c r="F141" s="5">
        <v>29.151</v>
      </c>
      <c r="G141" s="2">
        <v>5.1779999999999999</v>
      </c>
      <c r="H141" s="5">
        <f t="shared" si="8"/>
        <v>95.064757812500005</v>
      </c>
      <c r="I141" s="5">
        <f t="shared" si="9"/>
        <v>90</v>
      </c>
      <c r="K141" s="5">
        <v>1.075</v>
      </c>
      <c r="L141" s="5">
        <v>129.73000000000002</v>
      </c>
      <c r="M141" s="5">
        <v>31.966000000000001</v>
      </c>
      <c r="N141" s="5">
        <v>2.21475</v>
      </c>
      <c r="O141" s="5">
        <f t="shared" si="10"/>
        <v>780</v>
      </c>
      <c r="P141" s="5">
        <f t="shared" si="11"/>
        <v>90</v>
      </c>
      <c r="R141" s="5">
        <v>20.9</v>
      </c>
      <c r="S141" s="5">
        <v>-7.4999999999999997E-3</v>
      </c>
      <c r="T141" s="5">
        <v>35.204999999999998</v>
      </c>
      <c r="U141" s="2">
        <v>0.62350000000000005</v>
      </c>
      <c r="V141" s="5">
        <v>78</v>
      </c>
      <c r="W141" s="5">
        <v>78</v>
      </c>
      <c r="AA141" s="2"/>
      <c r="AJ141" s="4"/>
      <c r="AR141" s="4"/>
    </row>
    <row r="142" spans="4:44">
      <c r="D142" s="5">
        <v>-20.2</v>
      </c>
      <c r="E142" s="5">
        <v>121.25999999999999</v>
      </c>
      <c r="F142" s="5">
        <v>29.151</v>
      </c>
      <c r="G142" s="2">
        <v>5.149</v>
      </c>
      <c r="H142" s="5">
        <f t="shared" si="8"/>
        <v>94.695499999999996</v>
      </c>
      <c r="I142" s="5">
        <f t="shared" si="9"/>
        <v>90</v>
      </c>
      <c r="K142" s="5">
        <v>1.4</v>
      </c>
      <c r="L142" s="5">
        <v>126.32999999999998</v>
      </c>
      <c r="M142" s="5">
        <v>31.966000000000001</v>
      </c>
      <c r="N142" s="5">
        <v>2.165</v>
      </c>
      <c r="O142" s="5">
        <f t="shared" si="10"/>
        <v>780</v>
      </c>
      <c r="P142" s="5">
        <f t="shared" si="11"/>
        <v>90</v>
      </c>
      <c r="R142" s="5">
        <v>21.2</v>
      </c>
      <c r="S142" s="5">
        <v>-0.01</v>
      </c>
      <c r="T142" s="5">
        <v>35.204999999999998</v>
      </c>
      <c r="U142" s="2">
        <v>0.58600000000000008</v>
      </c>
      <c r="V142" s="5">
        <v>78</v>
      </c>
      <c r="W142" s="5">
        <v>78</v>
      </c>
      <c r="AA142" s="2"/>
      <c r="AJ142" s="4"/>
      <c r="AR142" s="4"/>
    </row>
    <row r="143" spans="4:44">
      <c r="D143" s="5">
        <v>-19.824999999999999</v>
      </c>
      <c r="E143" s="5">
        <v>119.42500000000001</v>
      </c>
      <c r="F143" s="5">
        <v>29.151</v>
      </c>
      <c r="G143" s="2">
        <v>5.0620000000000003</v>
      </c>
      <c r="H143" s="5">
        <f t="shared" si="8"/>
        <v>94.329757812499992</v>
      </c>
      <c r="I143" s="5">
        <f t="shared" si="9"/>
        <v>90</v>
      </c>
      <c r="K143" s="5">
        <v>1.85</v>
      </c>
      <c r="L143" s="5">
        <v>125.73750000000001</v>
      </c>
      <c r="M143" s="5">
        <v>31.966000000000001</v>
      </c>
      <c r="N143" s="5">
        <v>2.1084999999999998</v>
      </c>
      <c r="O143" s="5">
        <f t="shared" si="10"/>
        <v>780</v>
      </c>
      <c r="P143" s="5">
        <f t="shared" si="11"/>
        <v>90</v>
      </c>
      <c r="R143" s="5">
        <v>21.274999999999999</v>
      </c>
      <c r="S143" s="5">
        <v>-1.2500000000000001E-2</v>
      </c>
      <c r="T143" s="5">
        <v>35.204999999999998</v>
      </c>
      <c r="U143" s="2">
        <v>0.62350000000000005</v>
      </c>
      <c r="V143" s="5">
        <v>78</v>
      </c>
      <c r="W143" s="5">
        <v>78</v>
      </c>
      <c r="AA143" s="2"/>
      <c r="AJ143" s="4"/>
      <c r="AR143" s="4"/>
    </row>
    <row r="144" spans="4:44">
      <c r="D144" s="5">
        <v>-19.45</v>
      </c>
      <c r="E144" s="5">
        <v>117.59</v>
      </c>
      <c r="F144" s="5">
        <v>29.151</v>
      </c>
      <c r="G144" s="2">
        <v>4.9749999999999996</v>
      </c>
      <c r="H144" s="5">
        <f t="shared" si="8"/>
        <v>93.967531250000008</v>
      </c>
      <c r="I144" s="5">
        <f t="shared" si="9"/>
        <v>90</v>
      </c>
      <c r="K144" s="5">
        <v>2.2999999999999998</v>
      </c>
      <c r="L144" s="5">
        <v>125.145</v>
      </c>
      <c r="M144" s="5">
        <v>31.966000000000001</v>
      </c>
      <c r="N144" s="5">
        <v>2.052</v>
      </c>
      <c r="O144" s="5">
        <f t="shared" si="10"/>
        <v>780</v>
      </c>
      <c r="P144" s="5">
        <f t="shared" si="11"/>
        <v>90</v>
      </c>
      <c r="R144" s="5">
        <v>21.35</v>
      </c>
      <c r="S144" s="5">
        <v>-1.4999999999999999E-2</v>
      </c>
      <c r="T144" s="5">
        <v>35.204999999999998</v>
      </c>
      <c r="U144" s="2">
        <v>0.66100000000000003</v>
      </c>
      <c r="V144" s="5">
        <v>78</v>
      </c>
      <c r="W144" s="5">
        <v>78</v>
      </c>
      <c r="AA144" s="2"/>
      <c r="AJ144" s="4"/>
      <c r="AR144" s="4"/>
    </row>
    <row r="145" spans="4:44">
      <c r="D145" s="5">
        <v>-19.074999999999999</v>
      </c>
      <c r="E145" s="5">
        <v>115.755</v>
      </c>
      <c r="F145" s="5">
        <v>29.151</v>
      </c>
      <c r="G145" s="2">
        <v>4.8879999999999999</v>
      </c>
      <c r="H145" s="5">
        <f t="shared" si="8"/>
        <v>93.608820312500001</v>
      </c>
      <c r="I145" s="5">
        <f t="shared" si="9"/>
        <v>90</v>
      </c>
      <c r="K145" s="5">
        <v>2.75</v>
      </c>
      <c r="L145" s="5">
        <v>124.55249999999999</v>
      </c>
      <c r="M145" s="5">
        <v>31.966000000000001</v>
      </c>
      <c r="N145" s="5">
        <v>1.9955000000000001</v>
      </c>
      <c r="O145" s="5">
        <f t="shared" si="10"/>
        <v>780</v>
      </c>
      <c r="P145" s="5">
        <f t="shared" si="11"/>
        <v>90</v>
      </c>
      <c r="R145" s="5">
        <v>21.425000000000001</v>
      </c>
      <c r="S145" s="5">
        <v>-1.7500000000000002E-2</v>
      </c>
      <c r="T145" s="5">
        <v>35.204999999999998</v>
      </c>
      <c r="U145" s="2">
        <v>0.69850000000000001</v>
      </c>
      <c r="V145" s="5">
        <v>78</v>
      </c>
      <c r="W145" s="5">
        <v>78</v>
      </c>
      <c r="AA145" s="2"/>
      <c r="AJ145" s="4"/>
      <c r="AR145" s="4"/>
    </row>
    <row r="146" spans="4:44">
      <c r="D146" s="5">
        <v>-18.7</v>
      </c>
      <c r="E146" s="5">
        <v>113.91999999999999</v>
      </c>
      <c r="F146" s="5">
        <v>29.151</v>
      </c>
      <c r="G146" s="2">
        <v>4.8010000000000002</v>
      </c>
      <c r="H146" s="5">
        <f t="shared" si="8"/>
        <v>93.253625</v>
      </c>
      <c r="I146" s="5">
        <f t="shared" si="9"/>
        <v>90</v>
      </c>
      <c r="K146" s="5">
        <v>3.2</v>
      </c>
      <c r="L146" s="5">
        <v>123.96000000000001</v>
      </c>
      <c r="M146" s="5">
        <v>31.966000000000001</v>
      </c>
      <c r="N146" s="5">
        <v>1.9390000000000001</v>
      </c>
      <c r="O146" s="5">
        <f t="shared" si="10"/>
        <v>780</v>
      </c>
      <c r="P146" s="5">
        <f t="shared" si="11"/>
        <v>90</v>
      </c>
      <c r="R146" s="5">
        <v>21.5</v>
      </c>
      <c r="S146" s="5">
        <v>-0.02</v>
      </c>
      <c r="T146" s="5">
        <v>35.204999999999998</v>
      </c>
      <c r="U146" s="2">
        <v>0.73599999999999999</v>
      </c>
      <c r="V146" s="5">
        <v>78</v>
      </c>
      <c r="W146" s="5">
        <v>78</v>
      </c>
      <c r="AA146" s="2"/>
      <c r="AJ146" s="4"/>
      <c r="AR146" s="4"/>
    </row>
    <row r="147" spans="4:44">
      <c r="D147" s="5">
        <v>-18.425000000000001</v>
      </c>
      <c r="E147" s="5">
        <v>116.6875</v>
      </c>
      <c r="F147" s="5">
        <v>29.151</v>
      </c>
      <c r="G147" s="2">
        <v>4.78775</v>
      </c>
      <c r="H147" s="5">
        <f t="shared" si="8"/>
        <v>92.995382812499997</v>
      </c>
      <c r="I147" s="5">
        <f t="shared" si="9"/>
        <v>90</v>
      </c>
      <c r="K147" s="5">
        <v>3.4750000000000001</v>
      </c>
      <c r="L147" s="5">
        <v>119.5125</v>
      </c>
      <c r="M147" s="5">
        <v>31.966000000000001</v>
      </c>
      <c r="N147" s="5">
        <v>1.90625</v>
      </c>
      <c r="O147" s="5">
        <f t="shared" si="10"/>
        <v>780</v>
      </c>
      <c r="P147" s="5">
        <f t="shared" si="11"/>
        <v>90</v>
      </c>
      <c r="R147" s="5">
        <v>21.524999999999999</v>
      </c>
      <c r="S147" s="5">
        <v>-3.5000000000000003E-2</v>
      </c>
      <c r="T147" s="5">
        <v>35.204999999999998</v>
      </c>
      <c r="U147" s="2">
        <v>0.73399999999999999</v>
      </c>
      <c r="V147" s="5">
        <v>78</v>
      </c>
      <c r="W147" s="5">
        <v>78</v>
      </c>
      <c r="AA147" s="2"/>
      <c r="AJ147" s="4"/>
      <c r="AR147" s="4"/>
    </row>
    <row r="148" spans="4:44">
      <c r="D148" s="5">
        <v>-18.149999999999999</v>
      </c>
      <c r="E148" s="5">
        <v>119.45499999999998</v>
      </c>
      <c r="F148" s="5">
        <v>29.151</v>
      </c>
      <c r="G148" s="2">
        <v>4.7744999999999997</v>
      </c>
      <c r="H148" s="5">
        <f t="shared" si="8"/>
        <v>92.739031249999996</v>
      </c>
      <c r="I148" s="5">
        <f t="shared" si="9"/>
        <v>90</v>
      </c>
      <c r="K148" s="5">
        <v>3.75</v>
      </c>
      <c r="L148" s="5">
        <v>115.06500000000001</v>
      </c>
      <c r="M148" s="5">
        <v>31.966000000000001</v>
      </c>
      <c r="N148" s="5">
        <v>1.8735000000000002</v>
      </c>
      <c r="O148" s="5">
        <f t="shared" si="10"/>
        <v>780</v>
      </c>
      <c r="P148" s="5">
        <f t="shared" si="11"/>
        <v>90</v>
      </c>
      <c r="R148" s="5">
        <v>21.55</v>
      </c>
      <c r="S148" s="5">
        <v>-0.05</v>
      </c>
      <c r="T148" s="5">
        <v>35.204999999999998</v>
      </c>
      <c r="U148" s="2">
        <v>0.73199999999999998</v>
      </c>
      <c r="V148" s="5">
        <v>78</v>
      </c>
      <c r="W148" s="5">
        <v>78</v>
      </c>
      <c r="AA148" s="2"/>
      <c r="AJ148" s="4"/>
      <c r="AR148" s="4"/>
    </row>
    <row r="149" spans="4:44">
      <c r="D149" s="5">
        <v>-17.875</v>
      </c>
      <c r="E149" s="5">
        <v>122.22250000000001</v>
      </c>
      <c r="F149" s="5">
        <v>29.151</v>
      </c>
      <c r="G149" s="2">
        <v>4.7612499999999995</v>
      </c>
      <c r="H149" s="5">
        <f t="shared" si="8"/>
        <v>92.484570312499997</v>
      </c>
      <c r="I149" s="5">
        <f t="shared" si="9"/>
        <v>90</v>
      </c>
      <c r="K149" s="5">
        <v>4.0250000000000004</v>
      </c>
      <c r="L149" s="5">
        <v>110.61750000000001</v>
      </c>
      <c r="M149" s="5">
        <v>31.966000000000001</v>
      </c>
      <c r="N149" s="5">
        <v>1.8407500000000001</v>
      </c>
      <c r="O149" s="5">
        <f t="shared" si="10"/>
        <v>780</v>
      </c>
      <c r="P149" s="5">
        <f t="shared" si="11"/>
        <v>90</v>
      </c>
      <c r="R149" s="5">
        <v>21.574999999999999</v>
      </c>
      <c r="S149" s="5">
        <v>-6.5000000000000002E-2</v>
      </c>
      <c r="T149" s="5">
        <v>35.204999999999998</v>
      </c>
      <c r="U149" s="2">
        <v>0.73</v>
      </c>
      <c r="V149" s="5">
        <v>78</v>
      </c>
      <c r="W149" s="5">
        <v>78</v>
      </c>
      <c r="AA149" s="2"/>
      <c r="AJ149" s="4"/>
      <c r="AR149" s="4"/>
    </row>
    <row r="150" spans="4:44">
      <c r="D150" s="5">
        <v>-17.600000000000001</v>
      </c>
      <c r="E150" s="5">
        <v>124.99000000000001</v>
      </c>
      <c r="F150" s="5">
        <v>29.151</v>
      </c>
      <c r="G150" s="2">
        <v>4.7479999999999993</v>
      </c>
      <c r="H150" s="5">
        <f t="shared" si="8"/>
        <v>92.231999999999999</v>
      </c>
      <c r="I150" s="5">
        <f t="shared" si="9"/>
        <v>90</v>
      </c>
      <c r="K150" s="5">
        <v>4.3</v>
      </c>
      <c r="L150" s="5">
        <v>106.17000000000002</v>
      </c>
      <c r="M150" s="5">
        <v>31.966000000000001</v>
      </c>
      <c r="N150" s="5">
        <v>1.8080000000000001</v>
      </c>
      <c r="O150" s="5">
        <f t="shared" si="10"/>
        <v>780</v>
      </c>
      <c r="P150" s="5">
        <f t="shared" si="11"/>
        <v>90</v>
      </c>
      <c r="R150" s="5">
        <v>21.6</v>
      </c>
      <c r="S150" s="5">
        <v>-0.08</v>
      </c>
      <c r="T150" s="5">
        <v>35.204999999999998</v>
      </c>
      <c r="U150" s="2">
        <v>0.72799999999999998</v>
      </c>
      <c r="V150" s="5">
        <v>78</v>
      </c>
      <c r="W150" s="5">
        <v>78</v>
      </c>
      <c r="AA150" s="2"/>
      <c r="AJ150" s="4"/>
      <c r="AR150" s="4"/>
    </row>
    <row r="151" spans="4:44">
      <c r="D151" s="5">
        <v>-17.324999999999999</v>
      </c>
      <c r="E151" s="5">
        <v>132.0275</v>
      </c>
      <c r="F151" s="5">
        <v>29.151</v>
      </c>
      <c r="G151" s="2">
        <v>4.7399999999999993</v>
      </c>
      <c r="H151" s="5">
        <f t="shared" si="8"/>
        <v>91.981320312500003</v>
      </c>
      <c r="I151" s="5">
        <f t="shared" si="9"/>
        <v>90</v>
      </c>
      <c r="K151" s="5">
        <v>4.4000000000000004</v>
      </c>
      <c r="L151" s="5">
        <v>105.50750000000001</v>
      </c>
      <c r="M151" s="5">
        <v>31.966000000000001</v>
      </c>
      <c r="N151" s="5">
        <v>1.80525</v>
      </c>
      <c r="O151" s="5">
        <f t="shared" si="10"/>
        <v>780</v>
      </c>
      <c r="P151" s="5">
        <f t="shared" si="11"/>
        <v>90</v>
      </c>
      <c r="R151" s="5">
        <v>21.75</v>
      </c>
      <c r="S151" s="5">
        <v>-0.10749999999999998</v>
      </c>
      <c r="T151" s="5">
        <v>35.204999999999998</v>
      </c>
      <c r="U151" s="2">
        <v>0.75524999999999998</v>
      </c>
      <c r="V151" s="5">
        <v>78</v>
      </c>
      <c r="W151" s="5">
        <v>78</v>
      </c>
      <c r="AA151" s="2"/>
      <c r="AJ151" s="4"/>
      <c r="AR151" s="4"/>
    </row>
    <row r="152" spans="4:44">
      <c r="D152" s="5">
        <v>-17.05</v>
      </c>
      <c r="E152" s="5">
        <v>139.065</v>
      </c>
      <c r="F152" s="5">
        <v>29.151</v>
      </c>
      <c r="G152" s="2">
        <v>4.7319999999999993</v>
      </c>
      <c r="H152" s="5">
        <f t="shared" si="8"/>
        <v>91.732531249999994</v>
      </c>
      <c r="I152" s="5">
        <f t="shared" si="9"/>
        <v>90</v>
      </c>
      <c r="K152" s="5">
        <v>4.5</v>
      </c>
      <c r="L152" s="5">
        <v>104.845</v>
      </c>
      <c r="M152" s="5">
        <v>31.966000000000001</v>
      </c>
      <c r="N152" s="5">
        <v>1.8025</v>
      </c>
      <c r="O152" s="5">
        <f t="shared" si="10"/>
        <v>780</v>
      </c>
      <c r="P152" s="5">
        <f t="shared" si="11"/>
        <v>90</v>
      </c>
      <c r="R152" s="5">
        <v>21.9</v>
      </c>
      <c r="S152" s="5">
        <v>-0.13500000000000001</v>
      </c>
      <c r="T152" s="5">
        <v>35.204999999999998</v>
      </c>
      <c r="U152" s="2">
        <v>0.78249999999999997</v>
      </c>
      <c r="V152" s="5">
        <v>78</v>
      </c>
      <c r="W152" s="5">
        <v>78</v>
      </c>
      <c r="AA152" s="2"/>
      <c r="AJ152" s="4"/>
      <c r="AR152" s="4"/>
    </row>
    <row r="153" spans="4:44">
      <c r="D153" s="5">
        <v>-16.774999999999999</v>
      </c>
      <c r="E153" s="5">
        <v>146.10250000000002</v>
      </c>
      <c r="F153" s="5">
        <v>29.151</v>
      </c>
      <c r="G153" s="2">
        <v>4.7239999999999993</v>
      </c>
      <c r="H153" s="5">
        <f t="shared" si="8"/>
        <v>91.4856328125</v>
      </c>
      <c r="I153" s="5">
        <f t="shared" si="9"/>
        <v>90</v>
      </c>
      <c r="K153" s="5">
        <v>4.5999999999999996</v>
      </c>
      <c r="L153" s="5">
        <v>104.1825</v>
      </c>
      <c r="M153" s="5">
        <v>31.966000000000001</v>
      </c>
      <c r="N153" s="5">
        <v>1.7997500000000002</v>
      </c>
      <c r="O153" s="5">
        <f t="shared" si="10"/>
        <v>780</v>
      </c>
      <c r="P153" s="5">
        <f t="shared" si="11"/>
        <v>90</v>
      </c>
      <c r="R153" s="5">
        <v>22.05</v>
      </c>
      <c r="S153" s="5">
        <v>-0.16250000000000001</v>
      </c>
      <c r="T153" s="5">
        <v>35.204999999999998</v>
      </c>
      <c r="U153" s="2">
        <v>0.80974999999999997</v>
      </c>
      <c r="V153" s="5">
        <v>78</v>
      </c>
      <c r="W153" s="5">
        <v>78</v>
      </c>
      <c r="AA153" s="2"/>
      <c r="AJ153" s="4"/>
      <c r="AR153" s="4"/>
    </row>
    <row r="154" spans="4:44">
      <c r="D154" s="5">
        <v>-16.5</v>
      </c>
      <c r="E154" s="5">
        <v>153.13999999999999</v>
      </c>
      <c r="F154" s="5">
        <v>29.151</v>
      </c>
      <c r="G154" s="2">
        <v>4.7159999999999993</v>
      </c>
      <c r="H154" s="5">
        <f t="shared" si="8"/>
        <v>91.240624999999994</v>
      </c>
      <c r="I154" s="5">
        <f t="shared" si="9"/>
        <v>90</v>
      </c>
      <c r="K154" s="5">
        <v>4.7</v>
      </c>
      <c r="L154" s="5">
        <v>103.52000000000001</v>
      </c>
      <c r="M154" s="5">
        <v>31.966000000000001</v>
      </c>
      <c r="N154" s="5">
        <v>1.7970000000000002</v>
      </c>
      <c r="O154" s="5">
        <f t="shared" si="10"/>
        <v>780</v>
      </c>
      <c r="P154" s="5">
        <f t="shared" si="11"/>
        <v>90</v>
      </c>
      <c r="R154" s="5">
        <v>22.2</v>
      </c>
      <c r="S154" s="5">
        <v>-0.19</v>
      </c>
      <c r="T154" s="5">
        <v>35.204999999999998</v>
      </c>
      <c r="U154" s="2">
        <v>0.83699999999999997</v>
      </c>
      <c r="V154" s="5">
        <v>78</v>
      </c>
      <c r="W154" s="5">
        <v>78</v>
      </c>
      <c r="AA154" s="2"/>
      <c r="AJ154" s="4"/>
      <c r="AR154" s="4"/>
    </row>
    <row r="155" spans="4:44">
      <c r="D155" s="5">
        <v>-16.225000000000001</v>
      </c>
      <c r="E155" s="5">
        <v>154.1575</v>
      </c>
      <c r="F155" s="5">
        <v>29.151</v>
      </c>
      <c r="G155" s="2">
        <v>4.6744999999999992</v>
      </c>
      <c r="H155" s="5">
        <f t="shared" si="8"/>
        <v>90.997507812500004</v>
      </c>
      <c r="I155" s="5">
        <f t="shared" si="9"/>
        <v>90</v>
      </c>
      <c r="K155" s="5">
        <v>4.7249999999999996</v>
      </c>
      <c r="L155" s="5">
        <v>102.60999999999999</v>
      </c>
      <c r="M155" s="5">
        <v>31.966000000000001</v>
      </c>
      <c r="N155" s="5">
        <v>1.7957500000000002</v>
      </c>
      <c r="O155" s="5">
        <f t="shared" si="10"/>
        <v>780</v>
      </c>
      <c r="P155" s="5">
        <f t="shared" si="11"/>
        <v>90</v>
      </c>
      <c r="R155" s="5">
        <v>22.5</v>
      </c>
      <c r="S155" s="5">
        <v>-0.29000000000000004</v>
      </c>
      <c r="T155" s="5">
        <v>35.204999999999998</v>
      </c>
      <c r="U155" s="2">
        <v>0.80874999999999997</v>
      </c>
      <c r="V155" s="5">
        <v>78</v>
      </c>
      <c r="W155" s="5">
        <v>78</v>
      </c>
      <c r="AA155" s="2"/>
      <c r="AJ155" s="4"/>
      <c r="AR155" s="4"/>
    </row>
    <row r="156" spans="4:44">
      <c r="D156" s="5">
        <v>-15.95</v>
      </c>
      <c r="E156" s="5">
        <v>155.17500000000001</v>
      </c>
      <c r="F156" s="5">
        <v>29.151</v>
      </c>
      <c r="G156" s="2">
        <v>4.6329999999999991</v>
      </c>
      <c r="H156" s="5">
        <f t="shared" si="8"/>
        <v>90.756281250000001</v>
      </c>
      <c r="I156" s="5">
        <f t="shared" si="9"/>
        <v>90</v>
      </c>
      <c r="K156" s="5">
        <v>4.75</v>
      </c>
      <c r="L156" s="5">
        <v>101.7</v>
      </c>
      <c r="M156" s="5">
        <v>31.966000000000001</v>
      </c>
      <c r="N156" s="5">
        <v>1.7945</v>
      </c>
      <c r="O156" s="5">
        <f t="shared" si="10"/>
        <v>780</v>
      </c>
      <c r="P156" s="5">
        <f t="shared" si="11"/>
        <v>90</v>
      </c>
      <c r="R156" s="5">
        <v>22.8</v>
      </c>
      <c r="S156" s="5">
        <v>-0.3899999999999999</v>
      </c>
      <c r="T156" s="5">
        <v>35.204999999999998</v>
      </c>
      <c r="U156" s="2">
        <v>0.78049999999999997</v>
      </c>
      <c r="V156" s="5">
        <v>78</v>
      </c>
      <c r="W156" s="5">
        <v>78</v>
      </c>
      <c r="AA156" s="2"/>
      <c r="AJ156" s="4"/>
      <c r="AR156" s="4"/>
    </row>
    <row r="157" spans="4:44">
      <c r="D157" s="5">
        <v>-15.675000000000001</v>
      </c>
      <c r="E157" s="5">
        <v>156.1925</v>
      </c>
      <c r="F157" s="5">
        <v>29.151</v>
      </c>
      <c r="G157" s="2">
        <v>4.5914999999999999</v>
      </c>
      <c r="H157" s="5">
        <f t="shared" si="8"/>
        <v>90.516945312499999</v>
      </c>
      <c r="I157" s="5">
        <f t="shared" si="9"/>
        <v>90</v>
      </c>
      <c r="K157" s="5">
        <v>4.7750000000000004</v>
      </c>
      <c r="L157" s="5">
        <v>100.79</v>
      </c>
      <c r="M157" s="5">
        <v>31.966000000000001</v>
      </c>
      <c r="N157" s="5">
        <v>1.79325</v>
      </c>
      <c r="O157" s="5">
        <f t="shared" si="10"/>
        <v>780</v>
      </c>
      <c r="P157" s="5">
        <f t="shared" si="11"/>
        <v>90</v>
      </c>
      <c r="R157" s="5">
        <v>23.1</v>
      </c>
      <c r="S157" s="5">
        <v>-0.48999999999999988</v>
      </c>
      <c r="T157" s="5">
        <v>35.204999999999998</v>
      </c>
      <c r="U157" s="2">
        <v>0.75224999999999997</v>
      </c>
      <c r="V157" s="5">
        <v>78</v>
      </c>
      <c r="W157" s="5">
        <v>78</v>
      </c>
      <c r="AA157" s="2"/>
      <c r="AJ157" s="4"/>
      <c r="AR157" s="4"/>
    </row>
    <row r="158" spans="4:44">
      <c r="D158" s="5">
        <v>-15.4</v>
      </c>
      <c r="E158" s="5">
        <v>157.21</v>
      </c>
      <c r="F158" s="5">
        <v>29.151</v>
      </c>
      <c r="G158" s="2">
        <v>4.55</v>
      </c>
      <c r="H158" s="5">
        <f t="shared" si="8"/>
        <v>90.279499999999999</v>
      </c>
      <c r="I158" s="5">
        <f t="shared" si="9"/>
        <v>90</v>
      </c>
      <c r="K158" s="5">
        <v>4.8</v>
      </c>
      <c r="L158" s="5">
        <v>99.88</v>
      </c>
      <c r="M158" s="5">
        <v>31.966000000000001</v>
      </c>
      <c r="N158" s="5">
        <v>1.792</v>
      </c>
      <c r="O158" s="5">
        <f t="shared" si="10"/>
        <v>780</v>
      </c>
      <c r="P158" s="5">
        <f t="shared" si="11"/>
        <v>90</v>
      </c>
      <c r="R158" s="5">
        <v>23.4</v>
      </c>
      <c r="S158" s="5">
        <v>-0.59</v>
      </c>
      <c r="T158" s="5">
        <v>35.204999999999998</v>
      </c>
      <c r="U158" s="2">
        <v>0.72399999999999998</v>
      </c>
      <c r="V158" s="5">
        <v>78</v>
      </c>
      <c r="W158" s="5">
        <v>78</v>
      </c>
      <c r="AA158" s="2"/>
      <c r="AJ158" s="4"/>
      <c r="AR158" s="4"/>
    </row>
    <row r="159" spans="4:44">
      <c r="D159" s="5">
        <v>-15.324999999999999</v>
      </c>
      <c r="E159" s="5">
        <v>158.21</v>
      </c>
      <c r="F159" s="5">
        <v>29.151</v>
      </c>
      <c r="G159" s="2">
        <v>4.5774999999999997</v>
      </c>
      <c r="H159" s="5">
        <f t="shared" si="8"/>
        <v>90.215070312500004</v>
      </c>
      <c r="I159" s="5">
        <f t="shared" si="9"/>
        <v>90</v>
      </c>
      <c r="K159" s="5">
        <v>4.9749999999999996</v>
      </c>
      <c r="L159" s="5">
        <v>101.88499999999999</v>
      </c>
      <c r="M159" s="5">
        <v>31.966000000000001</v>
      </c>
      <c r="N159" s="5">
        <v>1.7870000000000001</v>
      </c>
      <c r="O159" s="5">
        <f t="shared" si="10"/>
        <v>780</v>
      </c>
      <c r="P159" s="5">
        <f t="shared" si="11"/>
        <v>90</v>
      </c>
      <c r="R159" s="5">
        <v>23.45</v>
      </c>
      <c r="S159" s="5">
        <v>-0.57000000000000006</v>
      </c>
      <c r="T159" s="5">
        <v>35.204999999999998</v>
      </c>
      <c r="U159" s="2">
        <v>0.72199999999999998</v>
      </c>
      <c r="V159" s="5">
        <v>78</v>
      </c>
      <c r="W159" s="5">
        <v>78</v>
      </c>
      <c r="AA159" s="2"/>
      <c r="AJ159" s="4"/>
      <c r="AR159" s="4"/>
    </row>
    <row r="160" spans="4:44">
      <c r="D160" s="5">
        <v>-15.25</v>
      </c>
      <c r="E160" s="5">
        <v>159.20999999999998</v>
      </c>
      <c r="F160" s="5">
        <v>29.151</v>
      </c>
      <c r="G160" s="2">
        <v>4.6050000000000004</v>
      </c>
      <c r="H160" s="5">
        <f t="shared" si="8"/>
        <v>90.150781249999994</v>
      </c>
      <c r="I160" s="5">
        <f t="shared" si="9"/>
        <v>90</v>
      </c>
      <c r="K160" s="5">
        <v>5.15</v>
      </c>
      <c r="L160" s="5">
        <v>103.88999999999999</v>
      </c>
      <c r="M160" s="5">
        <v>31.966000000000001</v>
      </c>
      <c r="N160" s="5">
        <v>1.782</v>
      </c>
      <c r="O160" s="5">
        <f t="shared" si="10"/>
        <v>780</v>
      </c>
      <c r="P160" s="5">
        <f t="shared" si="11"/>
        <v>90</v>
      </c>
      <c r="R160" s="5">
        <v>23.5</v>
      </c>
      <c r="S160" s="5">
        <v>-0.54999999999999993</v>
      </c>
      <c r="T160" s="5">
        <v>35.204999999999998</v>
      </c>
      <c r="U160" s="2">
        <v>0.72</v>
      </c>
      <c r="V160" s="5">
        <v>78</v>
      </c>
      <c r="W160" s="5">
        <v>78</v>
      </c>
      <c r="AA160" s="2"/>
      <c r="AJ160" s="4"/>
      <c r="AR160" s="4"/>
    </row>
    <row r="161" spans="4:44">
      <c r="D161" s="5">
        <v>-15.175000000000001</v>
      </c>
      <c r="E161" s="5">
        <v>160.21</v>
      </c>
      <c r="F161" s="5">
        <v>29.151</v>
      </c>
      <c r="G161" s="2">
        <v>4.6325000000000003</v>
      </c>
      <c r="H161" s="5">
        <f t="shared" si="8"/>
        <v>90.0866328125</v>
      </c>
      <c r="I161" s="5">
        <f t="shared" si="9"/>
        <v>90</v>
      </c>
      <c r="K161" s="5">
        <v>5.3250000000000002</v>
      </c>
      <c r="L161" s="5">
        <v>105.895</v>
      </c>
      <c r="M161" s="5">
        <v>31.966000000000001</v>
      </c>
      <c r="N161" s="5">
        <v>1.7769999999999999</v>
      </c>
      <c r="O161" s="5">
        <f t="shared" si="10"/>
        <v>780</v>
      </c>
      <c r="P161" s="5">
        <f t="shared" si="11"/>
        <v>90</v>
      </c>
      <c r="R161" s="5">
        <v>23.55</v>
      </c>
      <c r="S161" s="5">
        <v>-0.53</v>
      </c>
      <c r="T161" s="5">
        <v>35.204999999999998</v>
      </c>
      <c r="U161" s="2">
        <v>0.71799999999999997</v>
      </c>
      <c r="V161" s="5">
        <v>78</v>
      </c>
      <c r="W161" s="5">
        <v>78</v>
      </c>
      <c r="AA161" s="2"/>
      <c r="AJ161" s="4"/>
      <c r="AR161" s="4"/>
    </row>
    <row r="162" spans="4:44">
      <c r="D162" s="5">
        <v>-15.1</v>
      </c>
      <c r="E162" s="5">
        <v>161.20999999999998</v>
      </c>
      <c r="F162" s="5">
        <v>29.151</v>
      </c>
      <c r="G162" s="2">
        <v>4.66</v>
      </c>
      <c r="H162" s="5">
        <f t="shared" si="8"/>
        <v>90.022625000000005</v>
      </c>
      <c r="I162" s="5">
        <f t="shared" si="9"/>
        <v>90</v>
      </c>
      <c r="K162" s="5">
        <v>5.5</v>
      </c>
      <c r="L162" s="5">
        <v>107.89999999999999</v>
      </c>
      <c r="M162" s="5">
        <v>31.966000000000001</v>
      </c>
      <c r="N162" s="5">
        <v>1.772</v>
      </c>
      <c r="O162" s="5">
        <f t="shared" si="10"/>
        <v>780</v>
      </c>
      <c r="P162" s="5">
        <f t="shared" si="11"/>
        <v>90</v>
      </c>
      <c r="R162" s="5">
        <v>23.6</v>
      </c>
      <c r="S162" s="5">
        <v>-0.51</v>
      </c>
      <c r="T162" s="5">
        <v>35.204999999999998</v>
      </c>
      <c r="U162" s="2">
        <v>0.71599999999999997</v>
      </c>
      <c r="V162" s="5">
        <v>78</v>
      </c>
      <c r="W162" s="5">
        <v>78</v>
      </c>
      <c r="AA162" s="2"/>
      <c r="AJ162" s="4"/>
      <c r="AR162" s="4"/>
    </row>
    <row r="163" spans="4:44">
      <c r="D163" s="5">
        <v>-15.4</v>
      </c>
      <c r="E163" s="5">
        <v>159.155</v>
      </c>
      <c r="F163" s="5">
        <v>29.151</v>
      </c>
      <c r="G163" s="2">
        <v>4.6885000000000003</v>
      </c>
      <c r="H163" s="5">
        <f t="shared" si="8"/>
        <v>90.279499999999999</v>
      </c>
      <c r="I163" s="5">
        <f t="shared" si="9"/>
        <v>90</v>
      </c>
      <c r="K163" s="5">
        <v>5.625</v>
      </c>
      <c r="L163" s="5">
        <v>113.39750000000001</v>
      </c>
      <c r="M163" s="5">
        <v>31.966000000000001</v>
      </c>
      <c r="N163" s="5">
        <v>1.7132500000000002</v>
      </c>
      <c r="O163" s="5">
        <f t="shared" si="10"/>
        <v>780</v>
      </c>
      <c r="P163" s="5">
        <f t="shared" si="11"/>
        <v>90</v>
      </c>
      <c r="R163" s="5">
        <v>23.35</v>
      </c>
      <c r="S163" s="5">
        <v>-0.40999999999999986</v>
      </c>
      <c r="T163" s="5">
        <v>35.204999999999998</v>
      </c>
      <c r="U163" s="2">
        <v>0.72275</v>
      </c>
      <c r="V163" s="5">
        <v>78</v>
      </c>
      <c r="W163" s="5">
        <v>78</v>
      </c>
      <c r="AA163" s="2"/>
      <c r="AJ163" s="4"/>
      <c r="AR163" s="4"/>
    </row>
    <row r="164" spans="4:44">
      <c r="D164" s="5">
        <v>-15.7</v>
      </c>
      <c r="E164" s="5">
        <v>157.10000000000002</v>
      </c>
      <c r="F164" s="5">
        <v>29.151</v>
      </c>
      <c r="G164" s="2">
        <v>4.7170000000000005</v>
      </c>
      <c r="H164" s="5">
        <f t="shared" si="8"/>
        <v>90.538624999999996</v>
      </c>
      <c r="I164" s="5">
        <f t="shared" si="9"/>
        <v>90</v>
      </c>
      <c r="K164" s="5">
        <v>5.75</v>
      </c>
      <c r="L164" s="5">
        <v>118.895</v>
      </c>
      <c r="M164" s="5">
        <v>31.966000000000001</v>
      </c>
      <c r="N164" s="5">
        <v>1.6545000000000001</v>
      </c>
      <c r="O164" s="5">
        <f t="shared" si="10"/>
        <v>780</v>
      </c>
      <c r="P164" s="5">
        <f t="shared" si="11"/>
        <v>90</v>
      </c>
      <c r="R164" s="5">
        <v>23.1</v>
      </c>
      <c r="S164" s="5">
        <v>-0.31</v>
      </c>
      <c r="T164" s="5">
        <v>35.204999999999998</v>
      </c>
      <c r="U164" s="2">
        <v>0.72949999999999993</v>
      </c>
      <c r="V164" s="5">
        <v>78</v>
      </c>
      <c r="W164" s="5">
        <v>78</v>
      </c>
      <c r="AA164" s="2"/>
      <c r="AJ164" s="4"/>
      <c r="AR164" s="4"/>
    </row>
    <row r="165" spans="4:44">
      <c r="D165" s="5">
        <v>-16</v>
      </c>
      <c r="E165" s="5">
        <v>155.04500000000002</v>
      </c>
      <c r="F165" s="5">
        <v>29.151</v>
      </c>
      <c r="G165" s="2">
        <v>4.7454999999999998</v>
      </c>
      <c r="H165" s="5">
        <f t="shared" si="8"/>
        <v>90.8</v>
      </c>
      <c r="I165" s="5">
        <f t="shared" si="9"/>
        <v>90</v>
      </c>
      <c r="K165" s="5">
        <v>5.875</v>
      </c>
      <c r="L165" s="5">
        <v>124.3925</v>
      </c>
      <c r="M165" s="5">
        <v>31.966000000000001</v>
      </c>
      <c r="N165" s="5">
        <v>1.59575</v>
      </c>
      <c r="O165" s="5">
        <f t="shared" si="10"/>
        <v>780</v>
      </c>
      <c r="P165" s="5">
        <f t="shared" si="11"/>
        <v>90</v>
      </c>
      <c r="R165" s="5">
        <v>22.85</v>
      </c>
      <c r="S165" s="5">
        <v>-0.21000000000000002</v>
      </c>
      <c r="T165" s="5">
        <v>35.204999999999998</v>
      </c>
      <c r="U165" s="2">
        <v>0.73624999999999996</v>
      </c>
      <c r="V165" s="5">
        <v>78</v>
      </c>
      <c r="W165" s="5">
        <v>78</v>
      </c>
      <c r="AA165" s="2"/>
      <c r="AJ165" s="4"/>
      <c r="AR165" s="4"/>
    </row>
    <row r="166" spans="4:44">
      <c r="D166" s="5">
        <v>-16.3</v>
      </c>
      <c r="E166" s="5">
        <v>152.99</v>
      </c>
      <c r="F166" s="5">
        <v>29.151</v>
      </c>
      <c r="G166" s="2">
        <v>4.774</v>
      </c>
      <c r="H166" s="5">
        <f t="shared" si="8"/>
        <v>91.063625000000002</v>
      </c>
      <c r="I166" s="5">
        <f t="shared" si="9"/>
        <v>90</v>
      </c>
      <c r="K166" s="5">
        <v>6</v>
      </c>
      <c r="L166" s="5">
        <v>129.89000000000001</v>
      </c>
      <c r="M166" s="5">
        <v>31.966000000000001</v>
      </c>
      <c r="N166" s="5">
        <v>1.5370000000000001</v>
      </c>
      <c r="O166" s="5">
        <f t="shared" si="10"/>
        <v>780</v>
      </c>
      <c r="P166" s="5">
        <f t="shared" si="11"/>
        <v>90</v>
      </c>
      <c r="R166" s="5">
        <v>22.6</v>
      </c>
      <c r="S166" s="5">
        <v>-0.10999999999999999</v>
      </c>
      <c r="T166" s="5">
        <v>35.204999999999998</v>
      </c>
      <c r="U166" s="2">
        <v>0.74299999999999999</v>
      </c>
      <c r="V166" s="5">
        <v>78</v>
      </c>
      <c r="W166" s="5">
        <v>78</v>
      </c>
      <c r="AA166" s="2"/>
      <c r="AJ166" s="4"/>
      <c r="AR166" s="4"/>
    </row>
    <row r="167" spans="4:44">
      <c r="D167" s="5">
        <v>-16.899999999999999</v>
      </c>
      <c r="E167" s="5">
        <v>155.91249999999999</v>
      </c>
      <c r="F167" s="5">
        <v>29.151</v>
      </c>
      <c r="G167" s="2">
        <v>4.8194999999999997</v>
      </c>
      <c r="H167" s="5">
        <f t="shared" si="8"/>
        <v>91.597624999999994</v>
      </c>
      <c r="I167" s="5">
        <f t="shared" si="9"/>
        <v>90</v>
      </c>
      <c r="K167" s="5">
        <v>5.9749999999999996</v>
      </c>
      <c r="L167" s="5">
        <v>133.065</v>
      </c>
      <c r="M167" s="5">
        <v>31.966000000000001</v>
      </c>
      <c r="N167" s="5">
        <v>1.5870000000000002</v>
      </c>
      <c r="O167" s="5">
        <f t="shared" si="10"/>
        <v>780</v>
      </c>
      <c r="P167" s="5">
        <f t="shared" si="11"/>
        <v>90</v>
      </c>
      <c r="R167" s="5">
        <v>22.45</v>
      </c>
      <c r="S167" s="5">
        <v>-0.1</v>
      </c>
      <c r="T167" s="5">
        <v>35.204999999999998</v>
      </c>
      <c r="U167" s="2">
        <v>0.75975000000000004</v>
      </c>
      <c r="V167" s="5">
        <v>78</v>
      </c>
      <c r="W167" s="5">
        <v>78</v>
      </c>
      <c r="AA167" s="2"/>
      <c r="AJ167" s="4"/>
      <c r="AR167" s="4"/>
    </row>
    <row r="168" spans="4:44">
      <c r="D168" s="5">
        <v>-17.5</v>
      </c>
      <c r="E168" s="5">
        <v>158.83500000000001</v>
      </c>
      <c r="F168" s="5">
        <v>29.151</v>
      </c>
      <c r="G168" s="2">
        <v>4.8650000000000002</v>
      </c>
      <c r="H168" s="5">
        <f t="shared" si="8"/>
        <v>92.140625</v>
      </c>
      <c r="I168" s="5">
        <f t="shared" si="9"/>
        <v>90</v>
      </c>
      <c r="K168" s="5">
        <v>5.95</v>
      </c>
      <c r="L168" s="5">
        <v>136.24</v>
      </c>
      <c r="M168" s="5">
        <v>31.966000000000001</v>
      </c>
      <c r="N168" s="5">
        <v>1.6370000000000002</v>
      </c>
      <c r="O168" s="5">
        <f t="shared" si="10"/>
        <v>780</v>
      </c>
      <c r="P168" s="5">
        <f t="shared" si="11"/>
        <v>90</v>
      </c>
      <c r="R168" s="5">
        <v>22.3</v>
      </c>
      <c r="S168" s="5">
        <v>-0.09</v>
      </c>
      <c r="T168" s="5">
        <v>35.204999999999998</v>
      </c>
      <c r="U168" s="2">
        <v>0.77649999999999997</v>
      </c>
      <c r="V168" s="5">
        <v>78</v>
      </c>
      <c r="W168" s="5">
        <v>78</v>
      </c>
      <c r="AA168" s="2"/>
      <c r="AJ168" s="4"/>
      <c r="AR168" s="4"/>
    </row>
    <row r="169" spans="4:44">
      <c r="D169" s="5">
        <v>-18.100000000000001</v>
      </c>
      <c r="E169" s="5">
        <v>161.75749999999999</v>
      </c>
      <c r="F169" s="5">
        <v>29.151</v>
      </c>
      <c r="G169" s="2">
        <v>4.9104999999999999</v>
      </c>
      <c r="H169" s="5">
        <f t="shared" si="8"/>
        <v>92.692625000000007</v>
      </c>
      <c r="I169" s="5">
        <f t="shared" si="9"/>
        <v>90</v>
      </c>
      <c r="K169" s="5">
        <v>5.9250000000000007</v>
      </c>
      <c r="L169" s="5">
        <v>139.41499999999999</v>
      </c>
      <c r="M169" s="5">
        <v>31.966000000000001</v>
      </c>
      <c r="N169" s="5">
        <v>1.6870000000000001</v>
      </c>
      <c r="O169" s="5">
        <f t="shared" si="10"/>
        <v>780</v>
      </c>
      <c r="P169" s="5">
        <f t="shared" si="11"/>
        <v>90</v>
      </c>
      <c r="R169" s="5">
        <v>22.15</v>
      </c>
      <c r="S169" s="5">
        <v>-0.08</v>
      </c>
      <c r="T169" s="5">
        <v>35.204999999999998</v>
      </c>
      <c r="U169" s="2">
        <v>0.7932499999999999</v>
      </c>
      <c r="V169" s="5">
        <v>78</v>
      </c>
      <c r="W169" s="5">
        <v>78</v>
      </c>
      <c r="AA169" s="2"/>
      <c r="AJ169" s="4"/>
      <c r="AR169" s="4"/>
    </row>
    <row r="170" spans="4:44">
      <c r="D170" s="5">
        <v>-18.7</v>
      </c>
      <c r="E170" s="5">
        <v>164.68</v>
      </c>
      <c r="F170" s="5">
        <v>29.151</v>
      </c>
      <c r="G170" s="2">
        <v>4.9559999999999995</v>
      </c>
      <c r="H170" s="5">
        <f t="shared" si="8"/>
        <v>93.253625</v>
      </c>
      <c r="I170" s="5">
        <f t="shared" si="9"/>
        <v>90</v>
      </c>
      <c r="K170" s="5">
        <v>5.9</v>
      </c>
      <c r="L170" s="5">
        <v>142.59</v>
      </c>
      <c r="M170" s="5">
        <v>31.966000000000001</v>
      </c>
      <c r="N170" s="5">
        <v>1.7370000000000001</v>
      </c>
      <c r="O170" s="5">
        <f t="shared" si="10"/>
        <v>780</v>
      </c>
      <c r="P170" s="5">
        <f t="shared" si="11"/>
        <v>90</v>
      </c>
      <c r="R170" s="5">
        <v>22</v>
      </c>
      <c r="S170" s="5">
        <v>-7.0000000000000007E-2</v>
      </c>
      <c r="T170" s="5">
        <v>35.204999999999998</v>
      </c>
      <c r="U170" s="2">
        <v>0.80999999999999994</v>
      </c>
      <c r="V170" s="5">
        <v>78</v>
      </c>
      <c r="W170" s="5">
        <v>78</v>
      </c>
      <c r="AA170" s="2"/>
      <c r="AJ170" s="4"/>
      <c r="AR170" s="4"/>
    </row>
    <row r="171" spans="4:44">
      <c r="D171" s="5">
        <v>-19.125</v>
      </c>
      <c r="E171" s="5">
        <v>163.09750000000003</v>
      </c>
      <c r="F171" s="5">
        <v>29.151</v>
      </c>
      <c r="G171" s="2">
        <v>4.9322499999999998</v>
      </c>
      <c r="H171" s="5">
        <f t="shared" si="8"/>
        <v>93.656445312499997</v>
      </c>
      <c r="I171" s="5">
        <f t="shared" si="9"/>
        <v>90</v>
      </c>
      <c r="K171" s="5">
        <v>5.7750000000000004</v>
      </c>
      <c r="L171" s="5">
        <v>139.19499999999999</v>
      </c>
      <c r="M171" s="5">
        <v>31.966000000000001</v>
      </c>
      <c r="N171" s="5">
        <v>1.72075</v>
      </c>
      <c r="O171" s="5">
        <f t="shared" si="10"/>
        <v>780</v>
      </c>
      <c r="P171" s="5">
        <f t="shared" si="11"/>
        <v>90</v>
      </c>
      <c r="R171" s="5">
        <v>21.824999999999999</v>
      </c>
      <c r="S171" s="5">
        <v>-5.7499999999999996E-2</v>
      </c>
      <c r="T171" s="5">
        <v>35.204999999999998</v>
      </c>
      <c r="U171" s="2">
        <v>0.77449999999999997</v>
      </c>
      <c r="V171" s="5">
        <v>78</v>
      </c>
      <c r="W171" s="5">
        <v>78</v>
      </c>
      <c r="AA171" s="2"/>
      <c r="AJ171" s="4"/>
      <c r="AR171" s="4"/>
    </row>
    <row r="172" spans="4:44">
      <c r="D172" s="5">
        <v>-19.55</v>
      </c>
      <c r="E172" s="5">
        <v>161.51499999999999</v>
      </c>
      <c r="F172" s="5">
        <v>29.151</v>
      </c>
      <c r="G172" s="2">
        <v>4.9085000000000001</v>
      </c>
      <c r="H172" s="5">
        <f t="shared" si="8"/>
        <v>94.063781250000005</v>
      </c>
      <c r="I172" s="5">
        <f t="shared" si="9"/>
        <v>90</v>
      </c>
      <c r="K172" s="5">
        <v>5.65</v>
      </c>
      <c r="L172" s="5">
        <v>135.80000000000001</v>
      </c>
      <c r="M172" s="5">
        <v>31.966000000000001</v>
      </c>
      <c r="N172" s="5">
        <v>1.7045000000000001</v>
      </c>
      <c r="O172" s="5">
        <f t="shared" si="10"/>
        <v>780</v>
      </c>
      <c r="P172" s="5">
        <f t="shared" si="11"/>
        <v>90</v>
      </c>
      <c r="R172" s="5">
        <v>21.65</v>
      </c>
      <c r="S172" s="5">
        <v>-4.5000000000000012E-2</v>
      </c>
      <c r="T172" s="5">
        <v>35.204999999999998</v>
      </c>
      <c r="U172" s="2">
        <v>0.73899999999999999</v>
      </c>
      <c r="V172" s="5">
        <v>78</v>
      </c>
      <c r="W172" s="5">
        <v>78</v>
      </c>
      <c r="AA172" s="2"/>
      <c r="AJ172" s="4"/>
      <c r="AR172" s="4"/>
    </row>
    <row r="173" spans="4:44">
      <c r="D173" s="5">
        <v>-19.975000000000001</v>
      </c>
      <c r="E173" s="5">
        <v>159.9325</v>
      </c>
      <c r="F173" s="5">
        <v>29.151</v>
      </c>
      <c r="G173" s="2">
        <v>4.8847499999999995</v>
      </c>
      <c r="H173" s="5">
        <f t="shared" si="8"/>
        <v>94.47563281250001</v>
      </c>
      <c r="I173" s="5">
        <f t="shared" si="9"/>
        <v>90</v>
      </c>
      <c r="K173" s="5">
        <v>5.5250000000000004</v>
      </c>
      <c r="L173" s="5">
        <v>132.405</v>
      </c>
      <c r="M173" s="5">
        <v>31.966000000000001</v>
      </c>
      <c r="N173" s="5">
        <v>1.6882500000000003</v>
      </c>
      <c r="O173" s="5">
        <f t="shared" si="10"/>
        <v>780</v>
      </c>
      <c r="P173" s="5">
        <f t="shared" si="11"/>
        <v>90</v>
      </c>
      <c r="R173" s="5">
        <v>21.475000000000001</v>
      </c>
      <c r="S173" s="5">
        <v>-3.2500000000000001E-2</v>
      </c>
      <c r="T173" s="5">
        <v>35.204999999999998</v>
      </c>
      <c r="U173" s="2">
        <v>0.70350000000000001</v>
      </c>
      <c r="V173" s="5">
        <v>78</v>
      </c>
      <c r="W173" s="5">
        <v>78</v>
      </c>
      <c r="AA173" s="2"/>
      <c r="AJ173" s="4"/>
      <c r="AR173" s="4"/>
    </row>
    <row r="174" spans="4:44">
      <c r="D174" s="5">
        <v>-20.399999999999999</v>
      </c>
      <c r="E174" s="5">
        <v>158.35000000000002</v>
      </c>
      <c r="F174" s="5">
        <v>29.151</v>
      </c>
      <c r="G174" s="2">
        <v>4.8609999999999998</v>
      </c>
      <c r="H174" s="5">
        <f t="shared" si="8"/>
        <v>94.891999999999996</v>
      </c>
      <c r="I174" s="5">
        <f t="shared" si="9"/>
        <v>90</v>
      </c>
      <c r="K174" s="5">
        <v>5.4</v>
      </c>
      <c r="L174" s="5">
        <v>129.01</v>
      </c>
      <c r="M174" s="5">
        <v>31.966000000000001</v>
      </c>
      <c r="N174" s="5">
        <v>1.6720000000000002</v>
      </c>
      <c r="O174" s="5">
        <f t="shared" si="10"/>
        <v>780</v>
      </c>
      <c r="P174" s="5">
        <f t="shared" si="11"/>
        <v>90</v>
      </c>
      <c r="R174" s="5">
        <v>21.3</v>
      </c>
      <c r="S174" s="5">
        <v>-0.02</v>
      </c>
      <c r="T174" s="5">
        <v>35.204999999999998</v>
      </c>
      <c r="U174" s="2">
        <v>0.66800000000000004</v>
      </c>
      <c r="V174" s="5">
        <v>78</v>
      </c>
      <c r="W174" s="5">
        <v>78</v>
      </c>
      <c r="AA174" s="2"/>
      <c r="AJ174" s="4"/>
      <c r="AR174" s="4"/>
    </row>
    <row r="175" spans="4:44">
      <c r="D175" s="5">
        <v>-20.65</v>
      </c>
      <c r="E175" s="5">
        <v>158.42000000000002</v>
      </c>
      <c r="F175" s="5">
        <v>29.151</v>
      </c>
      <c r="G175" s="2">
        <v>4.8519999999999994</v>
      </c>
      <c r="H175" s="5">
        <f t="shared" si="8"/>
        <v>95.139031250000002</v>
      </c>
      <c r="I175" s="5">
        <f t="shared" si="9"/>
        <v>90</v>
      </c>
      <c r="K175" s="5">
        <v>5.2750000000000004</v>
      </c>
      <c r="L175" s="5">
        <v>138.67000000000002</v>
      </c>
      <c r="M175" s="5">
        <v>31.966000000000001</v>
      </c>
      <c r="N175" s="5">
        <v>1.7160000000000002</v>
      </c>
      <c r="O175" s="5">
        <f t="shared" si="10"/>
        <v>780</v>
      </c>
      <c r="P175" s="5">
        <f t="shared" si="11"/>
        <v>90</v>
      </c>
      <c r="R175" s="5">
        <v>20.824999999999999</v>
      </c>
      <c r="S175" s="5">
        <v>-1.4999999999999999E-2</v>
      </c>
      <c r="T175" s="5">
        <v>35.204999999999998</v>
      </c>
      <c r="U175" s="2">
        <v>0.58800000000000008</v>
      </c>
      <c r="V175" s="5">
        <v>78</v>
      </c>
      <c r="W175" s="5">
        <v>78</v>
      </c>
      <c r="AA175" s="2"/>
      <c r="AJ175" s="4"/>
      <c r="AR175" s="4"/>
    </row>
    <row r="176" spans="4:44">
      <c r="D176" s="5">
        <v>-20.9</v>
      </c>
      <c r="E176" s="5">
        <v>158.49</v>
      </c>
      <c r="F176" s="5">
        <v>29.151</v>
      </c>
      <c r="G176" s="2">
        <v>4.843</v>
      </c>
      <c r="H176" s="5">
        <f t="shared" si="8"/>
        <v>95.387625</v>
      </c>
      <c r="I176" s="5">
        <f t="shared" si="9"/>
        <v>90</v>
      </c>
      <c r="K176" s="5">
        <v>5.15</v>
      </c>
      <c r="L176" s="5">
        <v>148.33000000000001</v>
      </c>
      <c r="M176" s="5">
        <v>31.966000000000001</v>
      </c>
      <c r="N176" s="5">
        <v>1.76</v>
      </c>
      <c r="O176" s="5">
        <f t="shared" si="10"/>
        <v>780</v>
      </c>
      <c r="P176" s="5">
        <f t="shared" si="11"/>
        <v>90</v>
      </c>
      <c r="R176" s="5">
        <v>20.350000000000001</v>
      </c>
      <c r="S176" s="5">
        <v>-0.01</v>
      </c>
      <c r="T176" s="5">
        <v>35.204999999999998</v>
      </c>
      <c r="U176" s="2">
        <v>0.50800000000000001</v>
      </c>
      <c r="V176" s="5">
        <v>78</v>
      </c>
      <c r="W176" s="5">
        <v>78</v>
      </c>
      <c r="AA176" s="2"/>
      <c r="AJ176" s="4"/>
      <c r="AR176" s="4"/>
    </row>
    <row r="177" spans="4:44">
      <c r="D177" s="5">
        <v>-21.15</v>
      </c>
      <c r="E177" s="5">
        <v>158.56</v>
      </c>
      <c r="F177" s="5">
        <v>29.151</v>
      </c>
      <c r="G177" s="2">
        <v>4.8339999999999996</v>
      </c>
      <c r="H177" s="5">
        <f t="shared" si="8"/>
        <v>95.637781250000003</v>
      </c>
      <c r="I177" s="5">
        <f t="shared" si="9"/>
        <v>90</v>
      </c>
      <c r="K177" s="5">
        <v>5.0250000000000004</v>
      </c>
      <c r="L177" s="5">
        <v>157.99</v>
      </c>
      <c r="M177" s="5">
        <v>31.966000000000001</v>
      </c>
      <c r="N177" s="5">
        <v>1.804</v>
      </c>
      <c r="O177" s="5">
        <f t="shared" si="10"/>
        <v>780</v>
      </c>
      <c r="P177" s="5">
        <f t="shared" si="11"/>
        <v>90</v>
      </c>
      <c r="R177" s="5">
        <v>19.875</v>
      </c>
      <c r="S177" s="5">
        <v>-5.0000000000000001E-3</v>
      </c>
      <c r="T177" s="5">
        <v>35.204999999999998</v>
      </c>
      <c r="U177" s="2">
        <v>0.42799999999999999</v>
      </c>
      <c r="V177" s="5">
        <v>78</v>
      </c>
      <c r="W177" s="5">
        <v>78</v>
      </c>
      <c r="AA177" s="2"/>
      <c r="AJ177" s="4"/>
      <c r="AR177" s="4"/>
    </row>
    <row r="178" spans="4:44">
      <c r="D178" s="5">
        <v>-21.4</v>
      </c>
      <c r="E178" s="5">
        <v>158.63</v>
      </c>
      <c r="F178" s="5">
        <v>29.151</v>
      </c>
      <c r="G178" s="2">
        <v>4.8249999999999993</v>
      </c>
      <c r="H178" s="5">
        <f t="shared" si="8"/>
        <v>95.889499999999998</v>
      </c>
      <c r="I178" s="5">
        <f t="shared" si="9"/>
        <v>90</v>
      </c>
      <c r="K178" s="5">
        <v>4.9000000000000004</v>
      </c>
      <c r="L178" s="5">
        <v>167.65</v>
      </c>
      <c r="M178" s="5">
        <v>31.966000000000001</v>
      </c>
      <c r="N178" s="5">
        <v>1.8480000000000001</v>
      </c>
      <c r="O178" s="5">
        <f t="shared" si="10"/>
        <v>780</v>
      </c>
      <c r="P178" s="5">
        <f t="shared" si="11"/>
        <v>90</v>
      </c>
      <c r="R178" s="5">
        <v>19.399999999999999</v>
      </c>
      <c r="S178" s="5">
        <v>0</v>
      </c>
      <c r="T178" s="5">
        <v>35.204999999999998</v>
      </c>
      <c r="U178" s="2">
        <v>0.41060000000000002</v>
      </c>
      <c r="V178" s="5">
        <v>78</v>
      </c>
      <c r="W178" s="5">
        <v>78</v>
      </c>
      <c r="AA178" s="2"/>
      <c r="AJ178" s="4"/>
      <c r="AR178" s="4"/>
    </row>
    <row r="179" spans="4:44">
      <c r="D179" s="5">
        <v>-21.6</v>
      </c>
      <c r="E179" s="5">
        <v>156.29250000000002</v>
      </c>
      <c r="F179" s="5">
        <v>29.151</v>
      </c>
      <c r="G179" s="2">
        <v>4.8144999999999989</v>
      </c>
      <c r="H179" s="5">
        <f t="shared" si="8"/>
        <v>96.091999999999999</v>
      </c>
      <c r="I179" s="5">
        <f t="shared" si="9"/>
        <v>90</v>
      </c>
      <c r="K179" s="5">
        <v>4.75</v>
      </c>
      <c r="L179" s="5">
        <v>170.20499999999998</v>
      </c>
      <c r="M179" s="5">
        <v>31.966000000000001</v>
      </c>
      <c r="N179" s="5">
        <v>1.8367500000000001</v>
      </c>
      <c r="O179" s="5">
        <f t="shared" si="10"/>
        <v>780</v>
      </c>
      <c r="P179" s="5">
        <f t="shared" si="11"/>
        <v>90</v>
      </c>
      <c r="R179" s="5">
        <v>19.100000000000001</v>
      </c>
      <c r="S179" s="5">
        <v>-1.4999999999999999E-2</v>
      </c>
      <c r="T179" s="5">
        <v>35.204999999999998</v>
      </c>
      <c r="U179" s="2">
        <v>0.41089999999999999</v>
      </c>
      <c r="V179" s="5">
        <v>78</v>
      </c>
      <c r="W179" s="5">
        <v>78</v>
      </c>
      <c r="AA179" s="2"/>
      <c r="AJ179" s="4"/>
      <c r="AR179" s="4"/>
    </row>
    <row r="180" spans="4:44">
      <c r="D180" s="5">
        <v>-21.8</v>
      </c>
      <c r="E180" s="5">
        <v>153.95500000000001</v>
      </c>
      <c r="F180" s="5">
        <v>29.151</v>
      </c>
      <c r="G180" s="2">
        <v>4.8039999999999994</v>
      </c>
      <c r="H180" s="5">
        <f t="shared" si="8"/>
        <v>96.295500000000004</v>
      </c>
      <c r="I180" s="5">
        <f t="shared" si="9"/>
        <v>90</v>
      </c>
      <c r="K180" s="5">
        <v>4.5999999999999996</v>
      </c>
      <c r="L180" s="5">
        <v>172.76</v>
      </c>
      <c r="M180" s="5">
        <v>31.966000000000001</v>
      </c>
      <c r="N180" s="5">
        <v>1.8255000000000001</v>
      </c>
      <c r="O180" s="5">
        <f t="shared" si="10"/>
        <v>780</v>
      </c>
      <c r="P180" s="5">
        <f t="shared" si="11"/>
        <v>90</v>
      </c>
      <c r="R180" s="5">
        <v>18.8</v>
      </c>
      <c r="S180" s="5">
        <v>-0.03</v>
      </c>
      <c r="T180" s="5">
        <v>35.204999999999998</v>
      </c>
      <c r="U180" s="2">
        <v>0.41120000000000001</v>
      </c>
      <c r="V180" s="5">
        <v>78</v>
      </c>
      <c r="W180" s="5">
        <v>78</v>
      </c>
      <c r="AA180" s="2"/>
      <c r="AJ180" s="4"/>
      <c r="AR180" s="4"/>
    </row>
    <row r="181" spans="4:44">
      <c r="D181" s="5">
        <v>-22</v>
      </c>
      <c r="E181" s="5">
        <v>151.61750000000001</v>
      </c>
      <c r="F181" s="5">
        <v>29.151</v>
      </c>
      <c r="G181" s="2">
        <v>4.7934999999999999</v>
      </c>
      <c r="H181" s="5">
        <f t="shared" si="8"/>
        <v>96.5</v>
      </c>
      <c r="I181" s="5">
        <f t="shared" si="9"/>
        <v>90</v>
      </c>
      <c r="K181" s="5">
        <v>4.45</v>
      </c>
      <c r="L181" s="5">
        <v>175.315</v>
      </c>
      <c r="M181" s="5">
        <v>31.966000000000001</v>
      </c>
      <c r="N181" s="5">
        <v>1.8142500000000001</v>
      </c>
      <c r="O181" s="5">
        <f t="shared" si="10"/>
        <v>780</v>
      </c>
      <c r="P181" s="5">
        <f t="shared" si="11"/>
        <v>90</v>
      </c>
      <c r="R181" s="5">
        <v>18.5</v>
      </c>
      <c r="S181" s="5">
        <v>-4.5000000000000012E-2</v>
      </c>
      <c r="T181" s="5">
        <v>35.204999999999998</v>
      </c>
      <c r="U181" s="2">
        <v>0.41149999999999998</v>
      </c>
      <c r="V181" s="5">
        <v>78</v>
      </c>
      <c r="W181" s="5">
        <v>78</v>
      </c>
      <c r="AA181" s="2"/>
      <c r="AJ181" s="4"/>
      <c r="AR181" s="4"/>
    </row>
    <row r="182" spans="4:44">
      <c r="D182" s="5">
        <v>-22.2</v>
      </c>
      <c r="E182" s="5">
        <v>149.28</v>
      </c>
      <c r="F182" s="5">
        <v>29.151</v>
      </c>
      <c r="G182" s="2">
        <v>4.7829999999999995</v>
      </c>
      <c r="H182" s="5">
        <f t="shared" si="8"/>
        <v>96.705500000000001</v>
      </c>
      <c r="I182" s="5">
        <f t="shared" si="9"/>
        <v>90</v>
      </c>
      <c r="K182" s="5">
        <v>4.3</v>
      </c>
      <c r="L182" s="5">
        <v>177.87</v>
      </c>
      <c r="M182" s="5">
        <v>31.966000000000001</v>
      </c>
      <c r="N182" s="5">
        <v>1.8030000000000002</v>
      </c>
      <c r="O182" s="5">
        <f t="shared" si="10"/>
        <v>780</v>
      </c>
      <c r="P182" s="5">
        <f t="shared" si="11"/>
        <v>90</v>
      </c>
      <c r="R182" s="5">
        <v>18.2</v>
      </c>
      <c r="S182" s="5">
        <v>-0.06</v>
      </c>
      <c r="T182" s="5">
        <v>35.204999999999998</v>
      </c>
      <c r="U182" s="2">
        <v>0.4118</v>
      </c>
      <c r="V182" s="5">
        <v>78</v>
      </c>
      <c r="W182" s="5">
        <v>78</v>
      </c>
      <c r="AA182" s="2"/>
      <c r="AJ182" s="4"/>
      <c r="AR182" s="4"/>
    </row>
    <row r="183" spans="4:44">
      <c r="D183" s="5">
        <v>-22.25</v>
      </c>
      <c r="E183" s="5">
        <v>146.88750000000002</v>
      </c>
      <c r="F183" s="5">
        <v>29.151</v>
      </c>
      <c r="G183" s="2">
        <v>4.7917499999999995</v>
      </c>
      <c r="H183" s="5">
        <f t="shared" si="8"/>
        <v>96.757031249999997</v>
      </c>
      <c r="I183" s="5">
        <f t="shared" si="9"/>
        <v>90</v>
      </c>
      <c r="K183" s="5">
        <v>4.125</v>
      </c>
      <c r="L183" s="5">
        <v>169.05</v>
      </c>
      <c r="M183" s="5">
        <v>31.966000000000001</v>
      </c>
      <c r="N183" s="5">
        <v>1.8672500000000001</v>
      </c>
      <c r="O183" s="5">
        <f t="shared" si="10"/>
        <v>780</v>
      </c>
      <c r="P183" s="5">
        <f t="shared" si="11"/>
        <v>90</v>
      </c>
      <c r="R183" s="5">
        <v>18.024999999999999</v>
      </c>
      <c r="S183" s="5">
        <v>-4.5000000000000012E-2</v>
      </c>
      <c r="T183" s="5">
        <v>35.204999999999998</v>
      </c>
      <c r="U183" s="2">
        <v>0.41197499999999998</v>
      </c>
      <c r="V183" s="5">
        <v>78</v>
      </c>
      <c r="W183" s="5">
        <v>78</v>
      </c>
      <c r="AA183" s="2"/>
      <c r="AJ183" s="4"/>
      <c r="AR183" s="4"/>
    </row>
    <row r="184" spans="4:44">
      <c r="D184" s="5">
        <v>-22.3</v>
      </c>
      <c r="E184" s="5">
        <v>144.495</v>
      </c>
      <c r="F184" s="5">
        <v>29.151</v>
      </c>
      <c r="G184" s="2">
        <v>4.8004999999999995</v>
      </c>
      <c r="H184" s="5">
        <f t="shared" si="8"/>
        <v>96.808625000000006</v>
      </c>
      <c r="I184" s="5">
        <f t="shared" si="9"/>
        <v>90</v>
      </c>
      <c r="K184" s="5">
        <v>3.95</v>
      </c>
      <c r="L184" s="5">
        <v>160.22999999999999</v>
      </c>
      <c r="M184" s="5">
        <v>31.966000000000001</v>
      </c>
      <c r="N184" s="5">
        <v>1.9315</v>
      </c>
      <c r="O184" s="5">
        <f t="shared" si="10"/>
        <v>780</v>
      </c>
      <c r="P184" s="5">
        <f t="shared" si="11"/>
        <v>90</v>
      </c>
      <c r="R184" s="5">
        <v>17.850000000000001</v>
      </c>
      <c r="S184" s="5">
        <v>-0.03</v>
      </c>
      <c r="T184" s="5">
        <v>35.204999999999998</v>
      </c>
      <c r="U184" s="2">
        <v>0.41215000000000002</v>
      </c>
      <c r="V184" s="5">
        <v>78</v>
      </c>
      <c r="W184" s="5">
        <v>78</v>
      </c>
      <c r="AA184" s="2"/>
      <c r="AJ184" s="4"/>
      <c r="AR184" s="4"/>
    </row>
    <row r="185" spans="4:44">
      <c r="D185" s="5">
        <v>-22.35</v>
      </c>
      <c r="E185" s="5">
        <v>142.10249999999999</v>
      </c>
      <c r="F185" s="5">
        <v>29.151</v>
      </c>
      <c r="G185" s="2">
        <v>4.8092499999999996</v>
      </c>
      <c r="H185" s="5">
        <f t="shared" si="8"/>
        <v>96.86028125</v>
      </c>
      <c r="I185" s="5">
        <f t="shared" si="9"/>
        <v>90</v>
      </c>
      <c r="K185" s="5">
        <v>3.7749999999999999</v>
      </c>
      <c r="L185" s="5">
        <v>151.41</v>
      </c>
      <c r="M185" s="5">
        <v>31.966000000000001</v>
      </c>
      <c r="N185" s="5">
        <v>1.9957500000000001</v>
      </c>
      <c r="O185" s="5">
        <f t="shared" si="10"/>
        <v>780</v>
      </c>
      <c r="P185" s="5">
        <f t="shared" si="11"/>
        <v>90</v>
      </c>
      <c r="R185" s="5">
        <v>17.675000000000001</v>
      </c>
      <c r="S185" s="5">
        <v>-1.4999999999999999E-2</v>
      </c>
      <c r="T185" s="5">
        <v>35.204999999999998</v>
      </c>
      <c r="U185" s="2">
        <v>0.412325</v>
      </c>
      <c r="V185" s="5">
        <v>78</v>
      </c>
      <c r="W185" s="5">
        <v>78</v>
      </c>
      <c r="AA185" s="2"/>
      <c r="AJ185" s="4"/>
      <c r="AR185" s="4"/>
    </row>
    <row r="186" spans="4:44">
      <c r="D186" s="5">
        <v>-22.4</v>
      </c>
      <c r="E186" s="5">
        <v>139.71</v>
      </c>
      <c r="F186" s="5">
        <v>29.151</v>
      </c>
      <c r="G186" s="2">
        <v>4.8179999999999996</v>
      </c>
      <c r="H186" s="5">
        <f t="shared" si="8"/>
        <v>96.912000000000006</v>
      </c>
      <c r="I186" s="5">
        <f t="shared" si="9"/>
        <v>90</v>
      </c>
      <c r="K186" s="5">
        <v>3.6</v>
      </c>
      <c r="L186" s="5">
        <v>142.59</v>
      </c>
      <c r="M186" s="5">
        <v>31.966000000000001</v>
      </c>
      <c r="N186" s="5">
        <v>2.06</v>
      </c>
      <c r="O186" s="5">
        <f t="shared" si="10"/>
        <v>780</v>
      </c>
      <c r="P186" s="5">
        <f t="shared" si="11"/>
        <v>90</v>
      </c>
      <c r="R186" s="5">
        <v>17.5</v>
      </c>
      <c r="S186" s="5">
        <v>0</v>
      </c>
      <c r="T186" s="5">
        <v>35.204999999999998</v>
      </c>
      <c r="U186" s="2">
        <v>0.41249999999999998</v>
      </c>
      <c r="V186" s="5">
        <v>78</v>
      </c>
      <c r="W186" s="5">
        <v>78</v>
      </c>
      <c r="AA186" s="2"/>
      <c r="AJ186" s="4"/>
      <c r="AR186" s="4"/>
    </row>
    <row r="187" spans="4:44">
      <c r="D187" s="5">
        <v>-22.074999999999999</v>
      </c>
      <c r="E187" s="5">
        <v>136.27500000000001</v>
      </c>
      <c r="F187" s="5">
        <v>29.151</v>
      </c>
      <c r="G187" s="2">
        <v>4.7722499999999997</v>
      </c>
      <c r="H187" s="5">
        <f t="shared" si="8"/>
        <v>96.576945312500001</v>
      </c>
      <c r="I187" s="5">
        <f t="shared" si="9"/>
        <v>90</v>
      </c>
      <c r="K187" s="5">
        <v>3.4249999999999998</v>
      </c>
      <c r="L187" s="5">
        <v>134.1275</v>
      </c>
      <c r="M187" s="5">
        <v>31.966000000000001</v>
      </c>
      <c r="N187" s="5">
        <v>2.0637499999999998</v>
      </c>
      <c r="O187" s="5">
        <f t="shared" si="10"/>
        <v>780</v>
      </c>
      <c r="P187" s="5">
        <f t="shared" si="11"/>
        <v>90</v>
      </c>
      <c r="R187" s="5">
        <v>17.475000000000001</v>
      </c>
      <c r="S187" s="5">
        <v>0.13750000000000001</v>
      </c>
      <c r="T187" s="5">
        <v>35.204999999999998</v>
      </c>
      <c r="U187" s="2">
        <v>0.41252499999999998</v>
      </c>
      <c r="V187" s="5">
        <v>78</v>
      </c>
      <c r="W187" s="5">
        <v>78</v>
      </c>
      <c r="AA187" s="2"/>
      <c r="AJ187" s="4"/>
      <c r="AR187" s="4"/>
    </row>
    <row r="188" spans="4:44">
      <c r="D188" s="5">
        <v>-21.75</v>
      </c>
      <c r="E188" s="5">
        <v>132.84</v>
      </c>
      <c r="F188" s="5">
        <v>29.151</v>
      </c>
      <c r="G188" s="2">
        <v>4.7264999999999997</v>
      </c>
      <c r="H188" s="5">
        <f t="shared" si="8"/>
        <v>96.244531249999994</v>
      </c>
      <c r="I188" s="5">
        <f t="shared" si="9"/>
        <v>90</v>
      </c>
      <c r="K188" s="5">
        <v>3.25</v>
      </c>
      <c r="L188" s="5">
        <v>125.66499999999999</v>
      </c>
      <c r="M188" s="5">
        <v>31.966000000000001</v>
      </c>
      <c r="N188" s="5">
        <v>2.0674999999999999</v>
      </c>
      <c r="O188" s="5">
        <f t="shared" si="10"/>
        <v>780</v>
      </c>
      <c r="P188" s="5">
        <f t="shared" si="11"/>
        <v>90</v>
      </c>
      <c r="R188" s="5">
        <v>17.45</v>
      </c>
      <c r="S188" s="5">
        <v>0.27500000000000002</v>
      </c>
      <c r="T188" s="5">
        <v>35.204999999999998</v>
      </c>
      <c r="U188" s="2">
        <v>0.41254999999999997</v>
      </c>
      <c r="V188" s="5">
        <v>78</v>
      </c>
      <c r="W188" s="5">
        <v>78</v>
      </c>
      <c r="AA188" s="2"/>
      <c r="AJ188" s="4"/>
      <c r="AR188" s="4"/>
    </row>
    <row r="189" spans="4:44">
      <c r="D189" s="5">
        <v>-21.425000000000001</v>
      </c>
      <c r="E189" s="5">
        <v>129.405</v>
      </c>
      <c r="F189" s="5">
        <v>29.151</v>
      </c>
      <c r="G189" s="2">
        <v>4.6807499999999997</v>
      </c>
      <c r="H189" s="5">
        <f t="shared" si="8"/>
        <v>95.9147578125</v>
      </c>
      <c r="I189" s="5">
        <f t="shared" si="9"/>
        <v>90</v>
      </c>
      <c r="K189" s="5">
        <v>3.0750000000000002</v>
      </c>
      <c r="L189" s="5">
        <v>117.2025</v>
      </c>
      <c r="M189" s="5">
        <v>31.966000000000001</v>
      </c>
      <c r="N189" s="5">
        <v>2.07125</v>
      </c>
      <c r="O189" s="5">
        <f t="shared" si="10"/>
        <v>780</v>
      </c>
      <c r="P189" s="5">
        <f t="shared" si="11"/>
        <v>90</v>
      </c>
      <c r="R189" s="5">
        <v>17.425000000000001</v>
      </c>
      <c r="S189" s="5">
        <v>0.41250000000000003</v>
      </c>
      <c r="T189" s="5">
        <v>35.204999999999998</v>
      </c>
      <c r="U189" s="2">
        <v>0.41257499999999997</v>
      </c>
      <c r="V189" s="5">
        <v>78</v>
      </c>
      <c r="W189" s="5">
        <v>78</v>
      </c>
      <c r="AA189" s="2"/>
      <c r="AJ189" s="4"/>
      <c r="AR189" s="4"/>
    </row>
    <row r="190" spans="4:44">
      <c r="D190" s="5">
        <v>-21.1</v>
      </c>
      <c r="E190" s="5">
        <v>125.97</v>
      </c>
      <c r="F190" s="5">
        <v>29.151</v>
      </c>
      <c r="G190" s="2">
        <v>4.6349999999999998</v>
      </c>
      <c r="H190" s="5">
        <f t="shared" si="8"/>
        <v>95.587625000000003</v>
      </c>
      <c r="I190" s="5">
        <f t="shared" si="9"/>
        <v>90</v>
      </c>
      <c r="K190" s="5">
        <v>2.9</v>
      </c>
      <c r="L190" s="5">
        <v>108.74000000000001</v>
      </c>
      <c r="M190" s="5">
        <v>31.966000000000001</v>
      </c>
      <c r="N190" s="5">
        <v>2.0749999999999997</v>
      </c>
      <c r="O190" s="5">
        <f t="shared" si="10"/>
        <v>780</v>
      </c>
      <c r="P190" s="5">
        <f t="shared" si="11"/>
        <v>90</v>
      </c>
      <c r="R190" s="5">
        <v>17.399999999999999</v>
      </c>
      <c r="S190" s="5">
        <v>0.55000000000000004</v>
      </c>
      <c r="T190" s="5">
        <v>35.204999999999998</v>
      </c>
      <c r="U190" s="2">
        <v>0.41259999999999997</v>
      </c>
      <c r="V190" s="5">
        <v>78</v>
      </c>
      <c r="W190" s="5">
        <v>78</v>
      </c>
      <c r="AA190" s="2"/>
      <c r="AJ190" s="4"/>
      <c r="AR190" s="4"/>
    </row>
    <row r="191" spans="4:44">
      <c r="D191" s="5">
        <v>-21.5</v>
      </c>
      <c r="E191" s="5">
        <v>125.47750000000001</v>
      </c>
      <c r="F191" s="5">
        <v>29.151</v>
      </c>
      <c r="G191" s="2">
        <v>4.6422499999999998</v>
      </c>
      <c r="H191" s="5">
        <f t="shared" si="8"/>
        <v>95.990624999999994</v>
      </c>
      <c r="I191" s="5">
        <f t="shared" si="9"/>
        <v>90</v>
      </c>
      <c r="K191" s="5">
        <v>2.5249999999999999</v>
      </c>
      <c r="L191" s="5">
        <v>108.24</v>
      </c>
      <c r="M191" s="5">
        <v>31.966000000000001</v>
      </c>
      <c r="N191" s="5">
        <v>2.10175</v>
      </c>
      <c r="O191" s="5">
        <f t="shared" si="10"/>
        <v>780</v>
      </c>
      <c r="P191" s="5">
        <f t="shared" si="11"/>
        <v>90</v>
      </c>
      <c r="R191" s="5">
        <v>17.399999999999999</v>
      </c>
      <c r="S191" s="5">
        <v>0.99250000000000005</v>
      </c>
      <c r="T191" s="5">
        <v>35.204999999999998</v>
      </c>
      <c r="U191" s="2">
        <v>0.41259999999999997</v>
      </c>
      <c r="V191" s="5">
        <v>78</v>
      </c>
      <c r="W191" s="5">
        <v>78</v>
      </c>
      <c r="AA191" s="2"/>
      <c r="AJ191" s="4"/>
      <c r="AR191" s="4"/>
    </row>
    <row r="192" spans="4:44">
      <c r="D192" s="5">
        <v>-21.9</v>
      </c>
      <c r="E192" s="5">
        <v>124.985</v>
      </c>
      <c r="F192" s="5">
        <v>29.151</v>
      </c>
      <c r="G192" s="2">
        <v>4.6494999999999997</v>
      </c>
      <c r="H192" s="5">
        <f t="shared" si="8"/>
        <v>96.397625000000005</v>
      </c>
      <c r="I192" s="5">
        <f t="shared" si="9"/>
        <v>90</v>
      </c>
      <c r="K192" s="5">
        <v>2.15</v>
      </c>
      <c r="L192" s="5">
        <v>107.74</v>
      </c>
      <c r="M192" s="5">
        <v>31.966000000000001</v>
      </c>
      <c r="N192" s="5">
        <v>2.1284999999999998</v>
      </c>
      <c r="O192" s="5">
        <f t="shared" si="10"/>
        <v>780</v>
      </c>
      <c r="P192" s="5">
        <f t="shared" si="11"/>
        <v>90</v>
      </c>
      <c r="R192" s="5">
        <v>17.399999999999999</v>
      </c>
      <c r="S192" s="5">
        <v>1.4349999999999998</v>
      </c>
      <c r="T192" s="5">
        <v>35.204999999999998</v>
      </c>
      <c r="U192" s="2">
        <v>0.41259999999999997</v>
      </c>
      <c r="V192" s="5">
        <v>78</v>
      </c>
      <c r="W192" s="5">
        <v>78</v>
      </c>
      <c r="AA192" s="2"/>
      <c r="AJ192" s="4"/>
      <c r="AR192" s="4"/>
    </row>
    <row r="193" spans="4:44">
      <c r="D193" s="5">
        <v>-22.3</v>
      </c>
      <c r="E193" s="5">
        <v>124.49249999999999</v>
      </c>
      <c r="F193" s="5">
        <v>29.151</v>
      </c>
      <c r="G193" s="2">
        <v>4.6567499999999997</v>
      </c>
      <c r="H193" s="5">
        <f t="shared" si="8"/>
        <v>96.808625000000006</v>
      </c>
      <c r="I193" s="5">
        <f t="shared" si="9"/>
        <v>90</v>
      </c>
      <c r="K193" s="5">
        <v>1.7749999999999999</v>
      </c>
      <c r="L193" s="5">
        <v>107.24000000000001</v>
      </c>
      <c r="M193" s="5">
        <v>31.966000000000001</v>
      </c>
      <c r="N193" s="5">
        <v>2.1552500000000001</v>
      </c>
      <c r="O193" s="5">
        <f t="shared" si="10"/>
        <v>780</v>
      </c>
      <c r="P193" s="5">
        <f t="shared" si="11"/>
        <v>90</v>
      </c>
      <c r="R193" s="5">
        <v>17.399999999999999</v>
      </c>
      <c r="S193" s="5">
        <v>1.8774999999999999</v>
      </c>
      <c r="T193" s="5">
        <v>35.204999999999998</v>
      </c>
      <c r="U193" s="2">
        <v>0.41259999999999997</v>
      </c>
      <c r="V193" s="5">
        <v>78</v>
      </c>
      <c r="W193" s="5">
        <v>78</v>
      </c>
      <c r="AA193" s="2"/>
      <c r="AJ193" s="4"/>
      <c r="AR193" s="4"/>
    </row>
    <row r="194" spans="4:44">
      <c r="D194" s="5">
        <v>-22.7</v>
      </c>
      <c r="E194" s="5">
        <v>124</v>
      </c>
      <c r="F194" s="5">
        <v>28.256</v>
      </c>
      <c r="G194" s="2">
        <v>4.6639999999999997</v>
      </c>
      <c r="H194" s="5">
        <f t="shared" si="8"/>
        <v>97.223624999999998</v>
      </c>
      <c r="I194" s="5">
        <f t="shared" si="9"/>
        <v>90</v>
      </c>
      <c r="K194" s="5">
        <v>1.4</v>
      </c>
      <c r="L194" s="5">
        <v>106.74</v>
      </c>
      <c r="M194" s="5">
        <v>32.57</v>
      </c>
      <c r="N194" s="5">
        <v>2.1819999999999999</v>
      </c>
      <c r="O194" s="5">
        <f t="shared" si="10"/>
        <v>780</v>
      </c>
      <c r="P194" s="5">
        <f t="shared" si="11"/>
        <v>90</v>
      </c>
      <c r="R194" s="5">
        <v>17.399999999999999</v>
      </c>
      <c r="S194" s="5">
        <v>2.3200000000000003</v>
      </c>
      <c r="T194" s="5">
        <v>35.706000000000003</v>
      </c>
      <c r="U194" s="2">
        <v>0.41259999999999997</v>
      </c>
      <c r="V194" s="5">
        <v>78</v>
      </c>
      <c r="W194" s="5">
        <v>78</v>
      </c>
      <c r="AA194" s="2"/>
      <c r="AJ194" s="4"/>
      <c r="AR194" s="4"/>
    </row>
    <row r="195" spans="4:44">
      <c r="D195" s="5">
        <v>-22.8</v>
      </c>
      <c r="E195" s="5">
        <v>118.10000000000001</v>
      </c>
      <c r="F195" s="5">
        <v>28.256</v>
      </c>
      <c r="G195" s="2">
        <v>4.6979999999999995</v>
      </c>
      <c r="H195" s="5">
        <f t="shared" ref="H195:H258" si="12">IF(D195&lt;0,0.0125*D195^2-0.475*D195+80,80)</f>
        <v>97.328000000000003</v>
      </c>
      <c r="I195" s="5">
        <f t="shared" ref="I195:I258" si="13">IF(H195&lt;90,H195,90)</f>
        <v>90</v>
      </c>
      <c r="K195" s="5">
        <v>1.1499999999999999</v>
      </c>
      <c r="L195" s="5">
        <v>105.94</v>
      </c>
      <c r="M195" s="5">
        <v>32.57</v>
      </c>
      <c r="N195" s="5">
        <v>2.2199999999999998</v>
      </c>
      <c r="O195" s="5">
        <f t="shared" ref="O195:O258" si="14">IF(K195&lt;0,0.0125*K195^2-0.475*K195+80,780)</f>
        <v>780</v>
      </c>
      <c r="P195" s="5">
        <f t="shared" ref="P195:P258" si="15">IF(O195&lt;90,O195,90)</f>
        <v>90</v>
      </c>
      <c r="R195" s="5">
        <v>17.350000000000001</v>
      </c>
      <c r="S195" s="5">
        <v>1.7374999999999998</v>
      </c>
      <c r="T195" s="5">
        <v>35.706000000000003</v>
      </c>
      <c r="U195" s="2">
        <v>0.41265000000000002</v>
      </c>
      <c r="V195" s="5">
        <v>78</v>
      </c>
      <c r="W195" s="5">
        <v>78</v>
      </c>
      <c r="AA195" s="2"/>
      <c r="AJ195" s="4"/>
      <c r="AR195" s="4"/>
    </row>
    <row r="196" spans="4:44">
      <c r="D196" s="5">
        <v>-22.9</v>
      </c>
      <c r="E196" s="5">
        <v>112.2</v>
      </c>
      <c r="F196" s="5">
        <v>28.256</v>
      </c>
      <c r="G196" s="2">
        <v>4.7319999999999993</v>
      </c>
      <c r="H196" s="5">
        <f t="shared" si="12"/>
        <v>97.432625000000002</v>
      </c>
      <c r="I196" s="5">
        <f t="shared" si="13"/>
        <v>90</v>
      </c>
      <c r="K196" s="5">
        <v>0.89999999999999991</v>
      </c>
      <c r="L196" s="5">
        <v>105.13999999999999</v>
      </c>
      <c r="M196" s="5">
        <v>32.57</v>
      </c>
      <c r="N196" s="5">
        <v>2.258</v>
      </c>
      <c r="O196" s="5">
        <f t="shared" si="14"/>
        <v>780</v>
      </c>
      <c r="P196" s="5">
        <f t="shared" si="15"/>
        <v>90</v>
      </c>
      <c r="R196" s="5">
        <v>17.3</v>
      </c>
      <c r="S196" s="5">
        <v>1.155</v>
      </c>
      <c r="T196" s="5">
        <v>35.706000000000003</v>
      </c>
      <c r="U196" s="2">
        <v>0.41270000000000001</v>
      </c>
      <c r="V196" s="5">
        <v>78</v>
      </c>
      <c r="W196" s="5">
        <v>78</v>
      </c>
      <c r="AA196" s="2"/>
      <c r="AJ196" s="4"/>
      <c r="AR196" s="4"/>
    </row>
    <row r="197" spans="4:44">
      <c r="D197" s="5">
        <v>-23</v>
      </c>
      <c r="E197" s="5">
        <v>106.30000000000001</v>
      </c>
      <c r="F197" s="5">
        <v>28.256</v>
      </c>
      <c r="G197" s="2">
        <v>4.766</v>
      </c>
      <c r="H197" s="5">
        <f t="shared" si="12"/>
        <v>97.537499999999994</v>
      </c>
      <c r="I197" s="5">
        <f t="shared" si="13"/>
        <v>90</v>
      </c>
      <c r="K197" s="5">
        <v>0.65</v>
      </c>
      <c r="L197" s="5">
        <v>104.33999999999999</v>
      </c>
      <c r="M197" s="5">
        <v>32.57</v>
      </c>
      <c r="N197" s="5">
        <v>2.2959999999999998</v>
      </c>
      <c r="O197" s="5">
        <f t="shared" si="14"/>
        <v>780</v>
      </c>
      <c r="P197" s="5">
        <f t="shared" si="15"/>
        <v>90</v>
      </c>
      <c r="R197" s="5">
        <v>17.25</v>
      </c>
      <c r="S197" s="5">
        <v>0.57250000000000001</v>
      </c>
      <c r="T197" s="5">
        <v>35.706000000000003</v>
      </c>
      <c r="U197" s="2">
        <v>0.41275000000000001</v>
      </c>
      <c r="V197" s="5">
        <v>78</v>
      </c>
      <c r="W197" s="5">
        <v>78</v>
      </c>
      <c r="AA197" s="2"/>
      <c r="AJ197" s="4"/>
      <c r="AR197" s="4"/>
    </row>
    <row r="198" spans="4:44">
      <c r="D198" s="5">
        <v>-23.1</v>
      </c>
      <c r="E198" s="5">
        <v>100.39999999999999</v>
      </c>
      <c r="F198" s="5">
        <v>28.256</v>
      </c>
      <c r="G198" s="2">
        <v>4.8</v>
      </c>
      <c r="H198" s="5">
        <f t="shared" si="12"/>
        <v>97.64262500000001</v>
      </c>
      <c r="I198" s="5">
        <f t="shared" si="13"/>
        <v>90</v>
      </c>
      <c r="K198" s="5">
        <v>0.4</v>
      </c>
      <c r="L198" s="5">
        <v>103.53999999999999</v>
      </c>
      <c r="M198" s="5">
        <v>32.57</v>
      </c>
      <c r="N198" s="5">
        <v>2.3339999999999996</v>
      </c>
      <c r="O198" s="5">
        <f t="shared" si="14"/>
        <v>780</v>
      </c>
      <c r="P198" s="5">
        <f t="shared" si="15"/>
        <v>90</v>
      </c>
      <c r="R198" s="5">
        <v>17.2</v>
      </c>
      <c r="S198" s="5">
        <v>-0.01</v>
      </c>
      <c r="T198" s="5">
        <v>35.706000000000003</v>
      </c>
      <c r="U198" s="2">
        <v>0.4128</v>
      </c>
      <c r="V198" s="5">
        <v>78</v>
      </c>
      <c r="W198" s="5">
        <v>78</v>
      </c>
      <c r="AA198" s="2"/>
      <c r="AJ198" s="4"/>
      <c r="AR198" s="4"/>
    </row>
    <row r="199" spans="4:44">
      <c r="D199" s="5">
        <v>-23.25</v>
      </c>
      <c r="E199" s="5">
        <v>99.94</v>
      </c>
      <c r="F199" s="5">
        <v>28.256</v>
      </c>
      <c r="G199" s="2">
        <v>4.7779999999999996</v>
      </c>
      <c r="H199" s="5">
        <f t="shared" si="12"/>
        <v>97.80078125</v>
      </c>
      <c r="I199" s="5">
        <f t="shared" si="13"/>
        <v>90</v>
      </c>
      <c r="K199" s="5">
        <v>0.125</v>
      </c>
      <c r="L199" s="5">
        <v>102.455</v>
      </c>
      <c r="M199" s="5">
        <v>32.57</v>
      </c>
      <c r="N199" s="5">
        <v>2.3317499999999995</v>
      </c>
      <c r="O199" s="5">
        <f t="shared" si="14"/>
        <v>780</v>
      </c>
      <c r="P199" s="5">
        <f t="shared" si="15"/>
        <v>90</v>
      </c>
      <c r="R199" s="5">
        <v>17.149999999999999</v>
      </c>
      <c r="S199" s="5">
        <v>-7.4999999999999997E-3</v>
      </c>
      <c r="T199" s="5">
        <v>35.706000000000003</v>
      </c>
      <c r="U199" s="2">
        <v>0.41284999999999999</v>
      </c>
      <c r="V199" s="5">
        <v>78</v>
      </c>
      <c r="W199" s="5">
        <v>78</v>
      </c>
      <c r="AA199" s="2"/>
      <c r="AJ199" s="4"/>
      <c r="AR199" s="4"/>
    </row>
    <row r="200" spans="4:44">
      <c r="D200" s="5">
        <v>-23.4</v>
      </c>
      <c r="E200" s="5">
        <v>99.48</v>
      </c>
      <c r="F200" s="5">
        <v>28.256</v>
      </c>
      <c r="G200" s="2">
        <v>4.7560000000000002</v>
      </c>
      <c r="H200" s="5">
        <f t="shared" si="12"/>
        <v>97.959499999999991</v>
      </c>
      <c r="I200" s="5">
        <f t="shared" si="13"/>
        <v>90</v>
      </c>
      <c r="K200" s="5">
        <v>-0.15</v>
      </c>
      <c r="L200" s="5">
        <v>101.37</v>
      </c>
      <c r="M200" s="5">
        <v>32.57</v>
      </c>
      <c r="N200" s="5">
        <v>2.3294999999999999</v>
      </c>
      <c r="O200" s="5">
        <f t="shared" si="14"/>
        <v>80.071531250000007</v>
      </c>
      <c r="P200" s="5">
        <f t="shared" si="15"/>
        <v>80.071531250000007</v>
      </c>
      <c r="R200" s="5">
        <v>17.100000000000001</v>
      </c>
      <c r="S200" s="5">
        <v>-5.0000000000000001E-3</v>
      </c>
      <c r="T200" s="5">
        <v>35.706000000000003</v>
      </c>
      <c r="U200" s="2">
        <v>0.41289999999999999</v>
      </c>
      <c r="V200" s="5">
        <v>78</v>
      </c>
      <c r="W200" s="5">
        <v>78</v>
      </c>
      <c r="AA200" s="2"/>
      <c r="AJ200" s="4"/>
      <c r="AR200" s="4"/>
    </row>
    <row r="201" spans="4:44">
      <c r="D201" s="5">
        <v>-23.55</v>
      </c>
      <c r="E201" s="5">
        <v>99.02</v>
      </c>
      <c r="F201" s="5">
        <v>28.256</v>
      </c>
      <c r="G201" s="2">
        <v>4.734</v>
      </c>
      <c r="H201" s="5">
        <f t="shared" si="12"/>
        <v>98.118781249999998</v>
      </c>
      <c r="I201" s="5">
        <f t="shared" si="13"/>
        <v>90</v>
      </c>
      <c r="K201" s="5">
        <v>-0.42499999999999999</v>
      </c>
      <c r="L201" s="5">
        <v>100.285</v>
      </c>
      <c r="M201" s="5">
        <v>32.57</v>
      </c>
      <c r="N201" s="5">
        <v>2.3272499999999998</v>
      </c>
      <c r="O201" s="5">
        <f t="shared" si="14"/>
        <v>80.204132812500006</v>
      </c>
      <c r="P201" s="5">
        <f t="shared" si="15"/>
        <v>80.204132812500006</v>
      </c>
      <c r="R201" s="5">
        <v>17.05</v>
      </c>
      <c r="S201" s="5">
        <v>-2.5000000000000001E-3</v>
      </c>
      <c r="T201" s="5">
        <v>35.706000000000003</v>
      </c>
      <c r="U201" s="2">
        <v>0.41294999999999998</v>
      </c>
      <c r="V201" s="5">
        <v>78</v>
      </c>
      <c r="W201" s="5">
        <v>78</v>
      </c>
      <c r="AA201" s="2"/>
      <c r="AJ201" s="4"/>
      <c r="AR201" s="4"/>
    </row>
    <row r="202" spans="4:44">
      <c r="D202" s="5">
        <v>-23.7</v>
      </c>
      <c r="E202" s="5">
        <v>98.56</v>
      </c>
      <c r="F202" s="5">
        <v>28.256</v>
      </c>
      <c r="G202" s="2">
        <v>4.7119999999999997</v>
      </c>
      <c r="H202" s="5">
        <f t="shared" si="12"/>
        <v>98.278625000000005</v>
      </c>
      <c r="I202" s="5">
        <f t="shared" si="13"/>
        <v>90</v>
      </c>
      <c r="K202" s="5">
        <v>-0.7</v>
      </c>
      <c r="L202" s="5">
        <v>99.2</v>
      </c>
      <c r="M202" s="5">
        <v>32.57</v>
      </c>
      <c r="N202" s="5">
        <v>2.3249999999999997</v>
      </c>
      <c r="O202" s="5">
        <f t="shared" si="14"/>
        <v>80.338624999999993</v>
      </c>
      <c r="P202" s="5">
        <f t="shared" si="15"/>
        <v>80.338624999999993</v>
      </c>
      <c r="R202" s="5">
        <v>17</v>
      </c>
      <c r="S202" s="5">
        <v>0</v>
      </c>
      <c r="T202" s="5">
        <v>35.706000000000003</v>
      </c>
      <c r="U202" s="2">
        <v>0.41299999999999998</v>
      </c>
      <c r="V202" s="5">
        <v>78</v>
      </c>
      <c r="W202" s="5">
        <v>78</v>
      </c>
      <c r="AA202" s="2"/>
      <c r="AJ202" s="4"/>
      <c r="AR202" s="4"/>
    </row>
    <row r="203" spans="4:44">
      <c r="D203" s="5">
        <v>-23.675000000000001</v>
      </c>
      <c r="E203" s="5">
        <v>98.56</v>
      </c>
      <c r="F203" s="5">
        <v>28.256</v>
      </c>
      <c r="G203" s="2">
        <v>4.7382499999999999</v>
      </c>
      <c r="H203" s="5">
        <f t="shared" si="12"/>
        <v>98.251945312499998</v>
      </c>
      <c r="I203" s="5">
        <f t="shared" si="13"/>
        <v>90</v>
      </c>
      <c r="K203" s="5">
        <v>-1.125</v>
      </c>
      <c r="L203" s="5">
        <v>98.384999999999991</v>
      </c>
      <c r="M203" s="5">
        <v>32.57</v>
      </c>
      <c r="N203" s="5">
        <v>2.3607499999999999</v>
      </c>
      <c r="O203" s="5">
        <f t="shared" si="14"/>
        <v>80.550195312499994</v>
      </c>
      <c r="P203" s="5">
        <f t="shared" si="15"/>
        <v>80.550195312499994</v>
      </c>
      <c r="R203" s="5">
        <v>17</v>
      </c>
      <c r="S203" s="5">
        <v>1.55</v>
      </c>
      <c r="T203" s="5">
        <v>35.706000000000003</v>
      </c>
      <c r="U203" s="2">
        <v>0.41299999999999998</v>
      </c>
      <c r="V203" s="5">
        <v>78</v>
      </c>
      <c r="W203" s="5">
        <v>78</v>
      </c>
      <c r="AA203" s="2"/>
      <c r="AJ203" s="4"/>
      <c r="AR203" s="4"/>
    </row>
    <row r="204" spans="4:44">
      <c r="D204" s="5">
        <v>-23.65</v>
      </c>
      <c r="E204" s="5">
        <v>98.56</v>
      </c>
      <c r="F204" s="5">
        <v>28.256</v>
      </c>
      <c r="G204" s="2">
        <v>4.7645</v>
      </c>
      <c r="H204" s="5">
        <f t="shared" si="12"/>
        <v>98.225281249999995</v>
      </c>
      <c r="I204" s="5">
        <f t="shared" si="13"/>
        <v>90</v>
      </c>
      <c r="K204" s="5">
        <v>-1.55</v>
      </c>
      <c r="L204" s="5">
        <v>97.57</v>
      </c>
      <c r="M204" s="5">
        <v>32.57</v>
      </c>
      <c r="N204" s="5">
        <v>2.3965000000000001</v>
      </c>
      <c r="O204" s="5">
        <f t="shared" si="14"/>
        <v>80.766281250000006</v>
      </c>
      <c r="P204" s="5">
        <f t="shared" si="15"/>
        <v>80.766281250000006</v>
      </c>
      <c r="R204" s="5">
        <v>17</v>
      </c>
      <c r="S204" s="5">
        <v>3.1</v>
      </c>
      <c r="T204" s="5">
        <v>35.706000000000003</v>
      </c>
      <c r="U204" s="2">
        <v>0.41299999999999998</v>
      </c>
      <c r="V204" s="5">
        <v>78</v>
      </c>
      <c r="W204" s="5">
        <v>78</v>
      </c>
      <c r="AA204" s="2"/>
      <c r="AJ204" s="4"/>
      <c r="AR204" s="4"/>
    </row>
    <row r="205" spans="4:44">
      <c r="D205" s="5">
        <v>-23.625</v>
      </c>
      <c r="E205" s="5">
        <v>98.56</v>
      </c>
      <c r="F205" s="5">
        <v>28.256</v>
      </c>
      <c r="G205" s="2">
        <v>4.7907499999999992</v>
      </c>
      <c r="H205" s="5">
        <f t="shared" si="12"/>
        <v>98.198632812499994</v>
      </c>
      <c r="I205" s="5">
        <f t="shared" si="13"/>
        <v>90</v>
      </c>
      <c r="K205" s="5">
        <v>-1.9750000000000001</v>
      </c>
      <c r="L205" s="5">
        <v>96.754999999999995</v>
      </c>
      <c r="M205" s="5">
        <v>32.57</v>
      </c>
      <c r="N205" s="5">
        <v>2.4322499999999998</v>
      </c>
      <c r="O205" s="5">
        <f t="shared" si="14"/>
        <v>80.986882812499999</v>
      </c>
      <c r="P205" s="5">
        <f t="shared" si="15"/>
        <v>80.986882812499999</v>
      </c>
      <c r="R205" s="5">
        <v>17</v>
      </c>
      <c r="S205" s="5">
        <v>4.6500000000000004</v>
      </c>
      <c r="T205" s="5">
        <v>35.706000000000003</v>
      </c>
      <c r="U205" s="2">
        <v>0.41299999999999998</v>
      </c>
      <c r="V205" s="5">
        <v>78</v>
      </c>
      <c r="W205" s="5">
        <v>78</v>
      </c>
      <c r="AA205" s="2"/>
      <c r="AJ205" s="4"/>
      <c r="AR205" s="4"/>
    </row>
    <row r="206" spans="4:44">
      <c r="D206" s="5">
        <v>-23.6</v>
      </c>
      <c r="E206" s="5">
        <v>98.56</v>
      </c>
      <c r="F206" s="5">
        <v>28.256</v>
      </c>
      <c r="G206" s="2">
        <v>4.8169999999999993</v>
      </c>
      <c r="H206" s="5">
        <f t="shared" si="12"/>
        <v>98.171999999999997</v>
      </c>
      <c r="I206" s="5">
        <f t="shared" si="13"/>
        <v>90</v>
      </c>
      <c r="K206" s="5">
        <v>-2.4</v>
      </c>
      <c r="L206" s="5">
        <v>95.94</v>
      </c>
      <c r="M206" s="5">
        <v>32.57</v>
      </c>
      <c r="N206" s="5">
        <v>2.468</v>
      </c>
      <c r="O206" s="5">
        <f t="shared" si="14"/>
        <v>81.212000000000003</v>
      </c>
      <c r="P206" s="5">
        <f t="shared" si="15"/>
        <v>81.212000000000003</v>
      </c>
      <c r="R206" s="5">
        <v>17</v>
      </c>
      <c r="S206" s="5">
        <v>6.2</v>
      </c>
      <c r="T206" s="5">
        <v>35.706000000000003</v>
      </c>
      <c r="U206" s="2">
        <v>0.41299999999999998</v>
      </c>
      <c r="V206" s="5">
        <v>78</v>
      </c>
      <c r="W206" s="5">
        <v>78</v>
      </c>
      <c r="AA206" s="2"/>
      <c r="AJ206" s="4"/>
      <c r="AR206" s="4"/>
    </row>
    <row r="207" spans="4:44">
      <c r="D207" s="5">
        <v>-23.725000000000001</v>
      </c>
      <c r="E207" s="5">
        <v>99.059999999999988</v>
      </c>
      <c r="F207" s="5">
        <v>28.256</v>
      </c>
      <c r="G207" s="2">
        <v>4.8422499999999999</v>
      </c>
      <c r="H207" s="5">
        <f t="shared" si="12"/>
        <v>98.305320312500001</v>
      </c>
      <c r="I207" s="5">
        <f t="shared" si="13"/>
        <v>90</v>
      </c>
      <c r="K207" s="5">
        <v>-2.6</v>
      </c>
      <c r="L207" s="5">
        <v>95.529999999999987</v>
      </c>
      <c r="M207" s="5">
        <v>32.57</v>
      </c>
      <c r="N207" s="5">
        <v>2.2432500000000002</v>
      </c>
      <c r="O207" s="5">
        <f t="shared" si="14"/>
        <v>81.319500000000005</v>
      </c>
      <c r="P207" s="5">
        <f t="shared" si="15"/>
        <v>81.319500000000005</v>
      </c>
      <c r="R207" s="5">
        <v>17.05</v>
      </c>
      <c r="S207" s="5">
        <v>9.5549999999999997</v>
      </c>
      <c r="T207" s="5">
        <v>35.706000000000003</v>
      </c>
      <c r="U207" s="2">
        <v>0.41294999999999998</v>
      </c>
      <c r="V207" s="5">
        <v>78</v>
      </c>
      <c r="W207" s="5">
        <v>78</v>
      </c>
      <c r="AA207" s="2"/>
      <c r="AJ207" s="4"/>
      <c r="AR207" s="4"/>
    </row>
    <row r="208" spans="4:44">
      <c r="D208" s="5">
        <v>-23.85</v>
      </c>
      <c r="E208" s="5">
        <v>99.56</v>
      </c>
      <c r="F208" s="5">
        <v>28.256</v>
      </c>
      <c r="G208" s="2">
        <v>4.8674999999999997</v>
      </c>
      <c r="H208" s="5">
        <f t="shared" si="12"/>
        <v>98.439031249999999</v>
      </c>
      <c r="I208" s="5">
        <f t="shared" si="13"/>
        <v>90</v>
      </c>
      <c r="K208" s="5">
        <v>-2.8</v>
      </c>
      <c r="L208" s="5">
        <v>95.12</v>
      </c>
      <c r="M208" s="5">
        <v>32.57</v>
      </c>
      <c r="N208" s="5">
        <v>2.0185</v>
      </c>
      <c r="O208" s="5">
        <f t="shared" si="14"/>
        <v>81.427999999999997</v>
      </c>
      <c r="P208" s="5">
        <f t="shared" si="15"/>
        <v>81.427999999999997</v>
      </c>
      <c r="R208" s="5">
        <v>17.100000000000001</v>
      </c>
      <c r="S208" s="5">
        <v>12.91</v>
      </c>
      <c r="T208" s="5">
        <v>35.706000000000003</v>
      </c>
      <c r="U208" s="2">
        <v>0.41289999999999999</v>
      </c>
      <c r="V208" s="5">
        <v>78</v>
      </c>
      <c r="W208" s="5">
        <v>78</v>
      </c>
      <c r="AA208" s="2"/>
      <c r="AJ208" s="4"/>
      <c r="AR208" s="4"/>
    </row>
    <row r="209" spans="4:44">
      <c r="D209" s="5">
        <v>-23.975000000000001</v>
      </c>
      <c r="E209" s="5">
        <v>100.06</v>
      </c>
      <c r="F209" s="5">
        <v>28.256</v>
      </c>
      <c r="G209" s="2">
        <v>4.8927499999999995</v>
      </c>
      <c r="H209" s="5">
        <f t="shared" si="12"/>
        <v>98.573132812500006</v>
      </c>
      <c r="I209" s="5">
        <f t="shared" si="13"/>
        <v>90</v>
      </c>
      <c r="K209" s="5">
        <v>-3</v>
      </c>
      <c r="L209" s="5">
        <v>94.710000000000008</v>
      </c>
      <c r="M209" s="5">
        <v>32.57</v>
      </c>
      <c r="N209" s="5">
        <v>1.7937500000000002</v>
      </c>
      <c r="O209" s="5">
        <f t="shared" si="14"/>
        <v>81.537499999999994</v>
      </c>
      <c r="P209" s="5">
        <f t="shared" si="15"/>
        <v>81.537499999999994</v>
      </c>
      <c r="R209" s="5">
        <v>17.149999999999999</v>
      </c>
      <c r="S209" s="5">
        <v>16.265000000000001</v>
      </c>
      <c r="T209" s="5">
        <v>35.706000000000003</v>
      </c>
      <c r="U209" s="2">
        <v>0.41284999999999999</v>
      </c>
      <c r="V209" s="5">
        <v>78</v>
      </c>
      <c r="W209" s="5">
        <v>78</v>
      </c>
      <c r="AA209" s="2"/>
      <c r="AJ209" s="4"/>
      <c r="AR209" s="4"/>
    </row>
    <row r="210" spans="4:44">
      <c r="D210" s="5">
        <v>-24.1</v>
      </c>
      <c r="E210" s="5">
        <v>100.55999999999999</v>
      </c>
      <c r="F210" s="5">
        <v>28.256</v>
      </c>
      <c r="G210" s="2">
        <v>4.9180000000000001</v>
      </c>
      <c r="H210" s="5">
        <f t="shared" si="12"/>
        <v>98.707625000000007</v>
      </c>
      <c r="I210" s="5">
        <f t="shared" si="13"/>
        <v>90</v>
      </c>
      <c r="K210" s="5">
        <v>-3.2</v>
      </c>
      <c r="L210" s="5">
        <v>94.3</v>
      </c>
      <c r="M210" s="5">
        <v>32.57</v>
      </c>
      <c r="N210" s="5">
        <v>1.5690000000000002</v>
      </c>
      <c r="O210" s="5">
        <f t="shared" si="14"/>
        <v>81.647999999999996</v>
      </c>
      <c r="P210" s="5">
        <f t="shared" si="15"/>
        <v>81.647999999999996</v>
      </c>
      <c r="R210" s="5">
        <v>17.2</v>
      </c>
      <c r="S210" s="5">
        <v>19.62</v>
      </c>
      <c r="T210" s="5">
        <v>35.706000000000003</v>
      </c>
      <c r="U210" s="2">
        <v>0.4128</v>
      </c>
      <c r="V210" s="5">
        <v>78</v>
      </c>
      <c r="W210" s="5">
        <v>78</v>
      </c>
      <c r="AA210" s="2"/>
      <c r="AJ210" s="4"/>
      <c r="AR210" s="4"/>
    </row>
    <row r="211" spans="4:44">
      <c r="D211" s="5">
        <v>-24.225000000000001</v>
      </c>
      <c r="E211" s="5">
        <v>112.92</v>
      </c>
      <c r="F211" s="5">
        <v>28.256</v>
      </c>
      <c r="G211" s="2">
        <v>4.8985000000000003</v>
      </c>
      <c r="H211" s="5">
        <f t="shared" si="12"/>
        <v>98.842507812500003</v>
      </c>
      <c r="I211" s="5">
        <f t="shared" si="13"/>
        <v>90</v>
      </c>
      <c r="K211" s="5">
        <v>-3.1</v>
      </c>
      <c r="L211" s="5">
        <v>94.05</v>
      </c>
      <c r="M211" s="5">
        <v>32.57</v>
      </c>
      <c r="N211" s="5">
        <v>1.7775000000000001</v>
      </c>
      <c r="O211" s="5">
        <f t="shared" si="14"/>
        <v>81.592624999999998</v>
      </c>
      <c r="P211" s="5">
        <f t="shared" si="15"/>
        <v>81.592624999999998</v>
      </c>
      <c r="R211" s="5">
        <v>17.175000000000001</v>
      </c>
      <c r="S211" s="5">
        <v>21.34</v>
      </c>
      <c r="T211" s="5">
        <v>35.706000000000003</v>
      </c>
      <c r="U211" s="2">
        <v>0.412825</v>
      </c>
      <c r="V211" s="5">
        <v>78</v>
      </c>
      <c r="W211" s="5">
        <v>78</v>
      </c>
      <c r="AA211" s="2"/>
      <c r="AJ211" s="4"/>
      <c r="AR211" s="4"/>
    </row>
    <row r="212" spans="4:44">
      <c r="D212" s="5">
        <v>-24.35</v>
      </c>
      <c r="E212" s="5">
        <v>125.28</v>
      </c>
      <c r="F212" s="5">
        <v>28.256</v>
      </c>
      <c r="G212" s="2">
        <v>4.8789999999999996</v>
      </c>
      <c r="H212" s="5">
        <f t="shared" si="12"/>
        <v>98.977781249999992</v>
      </c>
      <c r="I212" s="5">
        <f t="shared" si="13"/>
        <v>90</v>
      </c>
      <c r="K212" s="5">
        <v>-3</v>
      </c>
      <c r="L212" s="5">
        <v>93.799999999999983</v>
      </c>
      <c r="M212" s="5">
        <v>32.57</v>
      </c>
      <c r="N212" s="5">
        <v>1.9860000000000002</v>
      </c>
      <c r="O212" s="5">
        <f t="shared" si="14"/>
        <v>81.537499999999994</v>
      </c>
      <c r="P212" s="5">
        <f t="shared" si="15"/>
        <v>81.537499999999994</v>
      </c>
      <c r="R212" s="5">
        <v>17.149999999999999</v>
      </c>
      <c r="S212" s="5">
        <v>23.060000000000002</v>
      </c>
      <c r="T212" s="5">
        <v>35.706000000000003</v>
      </c>
      <c r="U212" s="2">
        <v>0.41284999999999999</v>
      </c>
      <c r="V212" s="5">
        <v>78</v>
      </c>
      <c r="W212" s="5">
        <v>78</v>
      </c>
      <c r="AA212" s="2"/>
      <c r="AJ212" s="4"/>
      <c r="AR212" s="4"/>
    </row>
    <row r="213" spans="4:44">
      <c r="D213" s="5">
        <v>-24.475000000000001</v>
      </c>
      <c r="E213" s="5">
        <v>137.63999999999999</v>
      </c>
      <c r="F213" s="5">
        <v>28.256</v>
      </c>
      <c r="G213" s="2">
        <v>4.8594999999999997</v>
      </c>
      <c r="H213" s="5">
        <f t="shared" si="12"/>
        <v>99.113445312500005</v>
      </c>
      <c r="I213" s="5">
        <f t="shared" si="13"/>
        <v>90</v>
      </c>
      <c r="K213" s="5">
        <v>-2.9</v>
      </c>
      <c r="L213" s="5">
        <v>93.550000000000011</v>
      </c>
      <c r="M213" s="5">
        <v>32.57</v>
      </c>
      <c r="N213" s="5">
        <v>2.1945000000000001</v>
      </c>
      <c r="O213" s="5">
        <f t="shared" si="14"/>
        <v>81.482624999999999</v>
      </c>
      <c r="P213" s="5">
        <f t="shared" si="15"/>
        <v>81.482624999999999</v>
      </c>
      <c r="R213" s="5">
        <v>17.125</v>
      </c>
      <c r="S213" s="5">
        <v>24.78</v>
      </c>
      <c r="T213" s="5">
        <v>35.706000000000003</v>
      </c>
      <c r="U213" s="2">
        <v>0.41287499999999999</v>
      </c>
      <c r="V213" s="5">
        <v>78</v>
      </c>
      <c r="W213" s="5">
        <v>78</v>
      </c>
      <c r="AA213" s="2"/>
      <c r="AJ213" s="4"/>
      <c r="AR213" s="4"/>
    </row>
    <row r="214" spans="4:44">
      <c r="D214" s="5">
        <v>-24.6</v>
      </c>
      <c r="E214" s="5">
        <v>150</v>
      </c>
      <c r="F214" s="5">
        <v>28.256</v>
      </c>
      <c r="G214" s="2">
        <v>4.84</v>
      </c>
      <c r="H214" s="5">
        <f t="shared" si="12"/>
        <v>99.249499999999998</v>
      </c>
      <c r="I214" s="5">
        <f t="shared" si="13"/>
        <v>90</v>
      </c>
      <c r="K214" s="5">
        <v>-2.8</v>
      </c>
      <c r="L214" s="5">
        <v>93.3</v>
      </c>
      <c r="M214" s="5">
        <v>32.57</v>
      </c>
      <c r="N214" s="5">
        <v>2.403</v>
      </c>
      <c r="O214" s="5">
        <f t="shared" si="14"/>
        <v>81.427999999999997</v>
      </c>
      <c r="P214" s="5">
        <f t="shared" si="15"/>
        <v>81.427999999999997</v>
      </c>
      <c r="R214" s="5">
        <v>17.100000000000001</v>
      </c>
      <c r="S214" s="5">
        <v>26.5</v>
      </c>
      <c r="T214" s="5">
        <v>35.706000000000003</v>
      </c>
      <c r="U214" s="2">
        <v>0.41289999999999999</v>
      </c>
      <c r="V214" s="5">
        <v>78</v>
      </c>
      <c r="W214" s="5">
        <v>78</v>
      </c>
      <c r="AA214" s="2"/>
      <c r="AJ214" s="4"/>
      <c r="AR214" s="4"/>
    </row>
    <row r="215" spans="4:44">
      <c r="D215" s="5">
        <v>-24.7</v>
      </c>
      <c r="E215" s="5">
        <v>164.24499999999998</v>
      </c>
      <c r="F215" s="5">
        <v>28.256</v>
      </c>
      <c r="G215" s="2">
        <v>4.8652499999999996</v>
      </c>
      <c r="H215" s="5">
        <f t="shared" si="12"/>
        <v>99.358625000000004</v>
      </c>
      <c r="I215" s="5">
        <f t="shared" si="13"/>
        <v>90</v>
      </c>
      <c r="K215" s="5">
        <v>-2.375</v>
      </c>
      <c r="L215" s="5">
        <v>96.02000000000001</v>
      </c>
      <c r="M215" s="5">
        <v>32.57</v>
      </c>
      <c r="N215" s="5">
        <v>2.3839999999999999</v>
      </c>
      <c r="O215" s="5">
        <f t="shared" si="14"/>
        <v>81.198632812499994</v>
      </c>
      <c r="P215" s="5">
        <f t="shared" si="15"/>
        <v>81.198632812499994</v>
      </c>
      <c r="R215" s="5">
        <v>17.05</v>
      </c>
      <c r="S215" s="5">
        <v>27.78</v>
      </c>
      <c r="T215" s="5">
        <v>35.706000000000003</v>
      </c>
      <c r="U215" s="2">
        <v>0.41294999999999998</v>
      </c>
      <c r="V215" s="5">
        <v>78</v>
      </c>
      <c r="W215" s="5">
        <v>78</v>
      </c>
      <c r="AA215" s="2"/>
      <c r="AJ215" s="4"/>
      <c r="AR215" s="4"/>
    </row>
    <row r="216" spans="4:44">
      <c r="D216" s="5">
        <v>-24.8</v>
      </c>
      <c r="E216" s="5">
        <v>178.49</v>
      </c>
      <c r="F216" s="5">
        <v>28.256</v>
      </c>
      <c r="G216" s="2">
        <v>4.8904999999999994</v>
      </c>
      <c r="H216" s="5">
        <f t="shared" si="12"/>
        <v>99.468000000000004</v>
      </c>
      <c r="I216" s="5">
        <f t="shared" si="13"/>
        <v>90</v>
      </c>
      <c r="K216" s="5">
        <v>-1.95</v>
      </c>
      <c r="L216" s="5">
        <v>98.739999999999981</v>
      </c>
      <c r="M216" s="5">
        <v>32.57</v>
      </c>
      <c r="N216" s="5">
        <v>2.3649999999999998</v>
      </c>
      <c r="O216" s="5">
        <f t="shared" si="14"/>
        <v>80.973781250000002</v>
      </c>
      <c r="P216" s="5">
        <f t="shared" si="15"/>
        <v>80.973781250000002</v>
      </c>
      <c r="R216" s="5">
        <v>17</v>
      </c>
      <c r="S216" s="5">
        <v>29.060000000000002</v>
      </c>
      <c r="T216" s="5">
        <v>35.706000000000003</v>
      </c>
      <c r="U216" s="2">
        <v>0.41299999999999998</v>
      </c>
      <c r="V216" s="5">
        <v>78</v>
      </c>
      <c r="W216" s="5">
        <v>78</v>
      </c>
      <c r="AA216" s="2"/>
      <c r="AJ216" s="4"/>
      <c r="AR216" s="4"/>
    </row>
    <row r="217" spans="4:44">
      <c r="D217" s="5">
        <v>-24.9</v>
      </c>
      <c r="E217" s="5">
        <v>192.73499999999999</v>
      </c>
      <c r="F217" s="5">
        <v>28.256</v>
      </c>
      <c r="G217" s="2">
        <v>4.9157500000000001</v>
      </c>
      <c r="H217" s="5">
        <f t="shared" si="12"/>
        <v>99.577624999999998</v>
      </c>
      <c r="I217" s="5">
        <f t="shared" si="13"/>
        <v>90</v>
      </c>
      <c r="K217" s="5">
        <v>-1.5249999999999999</v>
      </c>
      <c r="L217" s="5">
        <v>101.46000000000001</v>
      </c>
      <c r="M217" s="5">
        <v>32.57</v>
      </c>
      <c r="N217" s="5">
        <v>2.3460000000000001</v>
      </c>
      <c r="O217" s="5">
        <f t="shared" si="14"/>
        <v>80.753445312500006</v>
      </c>
      <c r="P217" s="5">
        <f t="shared" si="15"/>
        <v>80.753445312500006</v>
      </c>
      <c r="R217" s="5">
        <v>16.95</v>
      </c>
      <c r="S217" s="5">
        <v>30.339999999999996</v>
      </c>
      <c r="T217" s="5">
        <v>35.706000000000003</v>
      </c>
      <c r="U217" s="2">
        <v>0.41304999999999997</v>
      </c>
      <c r="V217" s="5">
        <v>78</v>
      </c>
      <c r="W217" s="5">
        <v>78</v>
      </c>
      <c r="AA217" s="2"/>
      <c r="AJ217" s="4"/>
      <c r="AR217" s="4"/>
    </row>
    <row r="218" spans="4:44">
      <c r="D218" s="5">
        <v>-25</v>
      </c>
      <c r="E218" s="5">
        <v>206.98000000000002</v>
      </c>
      <c r="F218" s="5">
        <v>28.256</v>
      </c>
      <c r="G218" s="2">
        <v>4.9409999999999998</v>
      </c>
      <c r="H218" s="5">
        <f t="shared" si="12"/>
        <v>99.6875</v>
      </c>
      <c r="I218" s="5">
        <f t="shared" si="13"/>
        <v>90</v>
      </c>
      <c r="K218" s="5">
        <v>-1.1000000000000001</v>
      </c>
      <c r="L218" s="5">
        <v>104.17999999999999</v>
      </c>
      <c r="M218" s="5">
        <v>32.57</v>
      </c>
      <c r="N218" s="5">
        <v>2.327</v>
      </c>
      <c r="O218" s="5">
        <f t="shared" si="14"/>
        <v>80.537625000000006</v>
      </c>
      <c r="P218" s="5">
        <f t="shared" si="15"/>
        <v>80.537625000000006</v>
      </c>
      <c r="R218" s="5">
        <v>16.899999999999999</v>
      </c>
      <c r="S218" s="5">
        <v>31.619999999999997</v>
      </c>
      <c r="T218" s="5">
        <v>35.706000000000003</v>
      </c>
      <c r="U218" s="2">
        <v>0.41310000000000002</v>
      </c>
      <c r="V218" s="5">
        <v>78</v>
      </c>
      <c r="W218" s="5">
        <v>78</v>
      </c>
      <c r="AA218" s="2"/>
      <c r="AJ218" s="4"/>
      <c r="AR218" s="4"/>
    </row>
    <row r="219" spans="4:44">
      <c r="D219" s="5">
        <v>-25</v>
      </c>
      <c r="E219" s="5">
        <v>215.57249999999999</v>
      </c>
      <c r="F219" s="5">
        <v>28.256</v>
      </c>
      <c r="G219" s="2">
        <v>4.9947499999999998</v>
      </c>
      <c r="H219" s="5">
        <f t="shared" si="12"/>
        <v>99.6875</v>
      </c>
      <c r="I219" s="5">
        <f t="shared" si="13"/>
        <v>90</v>
      </c>
      <c r="K219" s="5">
        <v>-0.95000000000000007</v>
      </c>
      <c r="L219" s="5">
        <v>109.8925</v>
      </c>
      <c r="M219" s="5">
        <v>32.57</v>
      </c>
      <c r="N219" s="5">
        <v>2.3210000000000002</v>
      </c>
      <c r="O219" s="5">
        <f t="shared" si="14"/>
        <v>80.462531249999998</v>
      </c>
      <c r="P219" s="5">
        <f t="shared" si="15"/>
        <v>80.462531249999998</v>
      </c>
      <c r="R219" s="5">
        <v>16.824999999999999</v>
      </c>
      <c r="S219" s="5">
        <v>32.347499999999997</v>
      </c>
      <c r="T219" s="5">
        <v>35.706000000000003</v>
      </c>
      <c r="U219" s="2">
        <v>0.41317500000000001</v>
      </c>
      <c r="V219" s="5">
        <v>78</v>
      </c>
      <c r="W219" s="5">
        <v>78</v>
      </c>
      <c r="AA219" s="2"/>
      <c r="AJ219" s="4"/>
      <c r="AR219" s="4"/>
    </row>
    <row r="220" spans="4:44">
      <c r="D220" s="5">
        <v>-25</v>
      </c>
      <c r="E220" s="5">
        <v>224.16499999999999</v>
      </c>
      <c r="F220" s="5">
        <v>28.256</v>
      </c>
      <c r="G220" s="2">
        <v>5.0484999999999998</v>
      </c>
      <c r="H220" s="5">
        <f t="shared" si="12"/>
        <v>99.6875</v>
      </c>
      <c r="I220" s="5">
        <f t="shared" si="13"/>
        <v>90</v>
      </c>
      <c r="K220" s="5">
        <v>-0.8</v>
      </c>
      <c r="L220" s="5">
        <v>115.60499999999999</v>
      </c>
      <c r="M220" s="5">
        <v>32.57</v>
      </c>
      <c r="N220" s="5">
        <v>2.3149999999999999</v>
      </c>
      <c r="O220" s="5">
        <f t="shared" si="14"/>
        <v>80.388000000000005</v>
      </c>
      <c r="P220" s="5">
        <f t="shared" si="15"/>
        <v>80.388000000000005</v>
      </c>
      <c r="R220" s="5">
        <v>16.75</v>
      </c>
      <c r="S220" s="5">
        <v>33.075000000000003</v>
      </c>
      <c r="T220" s="5">
        <v>35.706000000000003</v>
      </c>
      <c r="U220" s="2">
        <v>0.41325000000000001</v>
      </c>
      <c r="V220" s="5">
        <v>78</v>
      </c>
      <c r="W220" s="5">
        <v>78</v>
      </c>
      <c r="AA220" s="2"/>
      <c r="AJ220" s="4"/>
      <c r="AR220" s="4"/>
    </row>
    <row r="221" spans="4:44">
      <c r="D221" s="5">
        <v>-25</v>
      </c>
      <c r="E221" s="5">
        <v>232.75749999999999</v>
      </c>
      <c r="F221" s="5">
        <v>28.256</v>
      </c>
      <c r="G221" s="2">
        <v>5.1022499999999997</v>
      </c>
      <c r="H221" s="5">
        <f t="shared" si="12"/>
        <v>99.6875</v>
      </c>
      <c r="I221" s="5">
        <f t="shared" si="13"/>
        <v>90</v>
      </c>
      <c r="K221" s="5">
        <v>-0.65</v>
      </c>
      <c r="L221" s="5">
        <v>121.3175</v>
      </c>
      <c r="M221" s="5">
        <v>32.57</v>
      </c>
      <c r="N221" s="5">
        <v>2.3090000000000002</v>
      </c>
      <c r="O221" s="5">
        <f t="shared" si="14"/>
        <v>80.314031249999999</v>
      </c>
      <c r="P221" s="5">
        <f t="shared" si="15"/>
        <v>80.314031249999999</v>
      </c>
      <c r="R221" s="5">
        <v>16.675000000000001</v>
      </c>
      <c r="S221" s="5">
        <v>33.802500000000002</v>
      </c>
      <c r="T221" s="5">
        <v>35.706000000000003</v>
      </c>
      <c r="U221" s="2">
        <v>0.413325</v>
      </c>
      <c r="V221" s="5">
        <v>78</v>
      </c>
      <c r="W221" s="5">
        <v>78</v>
      </c>
      <c r="AA221" s="2"/>
      <c r="AJ221" s="4"/>
      <c r="AR221" s="4"/>
    </row>
    <row r="222" spans="4:44">
      <c r="D222" s="5">
        <v>-25</v>
      </c>
      <c r="E222" s="5">
        <v>241.35000000000002</v>
      </c>
      <c r="F222" s="5">
        <v>28.256</v>
      </c>
      <c r="G222" s="2">
        <v>5.1559999999999997</v>
      </c>
      <c r="H222" s="5">
        <f t="shared" si="12"/>
        <v>99.6875</v>
      </c>
      <c r="I222" s="5">
        <f t="shared" si="13"/>
        <v>90</v>
      </c>
      <c r="K222" s="5">
        <v>-0.5</v>
      </c>
      <c r="L222" s="5">
        <v>127.03</v>
      </c>
      <c r="M222" s="5">
        <v>32.57</v>
      </c>
      <c r="N222" s="5">
        <v>2.3029999999999999</v>
      </c>
      <c r="O222" s="5">
        <f t="shared" si="14"/>
        <v>80.240624999999994</v>
      </c>
      <c r="P222" s="5">
        <f t="shared" si="15"/>
        <v>80.240624999999994</v>
      </c>
      <c r="R222" s="5">
        <v>16.600000000000001</v>
      </c>
      <c r="S222" s="5">
        <v>34.53</v>
      </c>
      <c r="T222" s="5">
        <v>35.706000000000003</v>
      </c>
      <c r="U222" s="2">
        <v>0.41339999999999999</v>
      </c>
      <c r="V222" s="5">
        <v>78</v>
      </c>
      <c r="W222" s="5">
        <v>78</v>
      </c>
      <c r="AA222" s="2"/>
      <c r="AJ222" s="4"/>
      <c r="AR222" s="4"/>
    </row>
    <row r="223" spans="4:44">
      <c r="D223" s="5">
        <v>-25.05</v>
      </c>
      <c r="E223" s="5">
        <v>258.495</v>
      </c>
      <c r="F223" s="5">
        <v>28.256</v>
      </c>
      <c r="G223" s="2">
        <v>5.2204999999999995</v>
      </c>
      <c r="H223" s="5">
        <f t="shared" si="12"/>
        <v>99.742531249999999</v>
      </c>
      <c r="I223" s="5">
        <f t="shared" si="13"/>
        <v>90</v>
      </c>
      <c r="K223" s="5">
        <v>-0.27500000000000002</v>
      </c>
      <c r="L223" s="5">
        <v>135.8775</v>
      </c>
      <c r="M223" s="5">
        <v>32.57</v>
      </c>
      <c r="N223" s="5">
        <v>2.3329999999999997</v>
      </c>
      <c r="O223" s="5">
        <f t="shared" si="14"/>
        <v>80.131570312500003</v>
      </c>
      <c r="P223" s="5">
        <f t="shared" si="15"/>
        <v>80.131570312500003</v>
      </c>
      <c r="R223" s="5">
        <v>16.824999999999999</v>
      </c>
      <c r="S223" s="5">
        <v>34.76</v>
      </c>
      <c r="T223" s="5">
        <v>35.706000000000003</v>
      </c>
      <c r="U223" s="2">
        <v>0.41317500000000001</v>
      </c>
      <c r="V223" s="5">
        <v>78</v>
      </c>
      <c r="W223" s="5">
        <v>78</v>
      </c>
      <c r="AA223" s="2"/>
      <c r="AJ223" s="4"/>
      <c r="AR223" s="4"/>
    </row>
    <row r="224" spans="4:44">
      <c r="D224" s="5">
        <v>-25.1</v>
      </c>
      <c r="E224" s="5">
        <v>275.64</v>
      </c>
      <c r="F224" s="5">
        <v>28.256</v>
      </c>
      <c r="G224" s="2">
        <v>5.2850000000000001</v>
      </c>
      <c r="H224" s="5">
        <f t="shared" si="12"/>
        <v>99.797624999999996</v>
      </c>
      <c r="I224" s="5">
        <f t="shared" si="13"/>
        <v>90</v>
      </c>
      <c r="K224" s="5">
        <v>-4.9999999999999989E-2</v>
      </c>
      <c r="L224" s="5">
        <v>144.72499999999999</v>
      </c>
      <c r="M224" s="5">
        <v>32.57</v>
      </c>
      <c r="N224" s="5">
        <v>2.363</v>
      </c>
      <c r="O224" s="5">
        <f t="shared" si="14"/>
        <v>80.023781249999999</v>
      </c>
      <c r="P224" s="5">
        <f t="shared" si="15"/>
        <v>80.023781249999999</v>
      </c>
      <c r="R224" s="5">
        <v>17.05</v>
      </c>
      <c r="S224" s="5">
        <v>34.99</v>
      </c>
      <c r="T224" s="5">
        <v>35.706000000000003</v>
      </c>
      <c r="U224" s="2">
        <v>0.41294999999999998</v>
      </c>
      <c r="V224" s="5">
        <v>78</v>
      </c>
      <c r="W224" s="5">
        <v>78</v>
      </c>
      <c r="AA224" s="2"/>
      <c r="AJ224" s="4"/>
      <c r="AR224" s="4"/>
    </row>
    <row r="225" spans="4:44">
      <c r="D225" s="5">
        <v>-25.15</v>
      </c>
      <c r="E225" s="5">
        <v>292.78500000000003</v>
      </c>
      <c r="F225" s="5">
        <v>28.256</v>
      </c>
      <c r="G225" s="2">
        <v>5.3494999999999999</v>
      </c>
      <c r="H225" s="5">
        <f t="shared" si="12"/>
        <v>99.852781249999992</v>
      </c>
      <c r="I225" s="5">
        <f t="shared" si="13"/>
        <v>90</v>
      </c>
      <c r="K225" s="5">
        <v>0.17499999999999999</v>
      </c>
      <c r="L225" s="5">
        <v>153.57249999999999</v>
      </c>
      <c r="M225" s="5">
        <v>32.57</v>
      </c>
      <c r="N225" s="5">
        <v>2.3930000000000002</v>
      </c>
      <c r="O225" s="5">
        <f t="shared" si="14"/>
        <v>780</v>
      </c>
      <c r="P225" s="5">
        <f t="shared" si="15"/>
        <v>90</v>
      </c>
      <c r="R225" s="5">
        <v>17.274999999999999</v>
      </c>
      <c r="S225" s="5">
        <v>35.22</v>
      </c>
      <c r="T225" s="5">
        <v>35.706000000000003</v>
      </c>
      <c r="U225" s="2">
        <v>0.41272500000000001</v>
      </c>
      <c r="V225" s="5">
        <v>78</v>
      </c>
      <c r="W225" s="5">
        <v>78</v>
      </c>
      <c r="AA225" s="2"/>
      <c r="AJ225" s="4"/>
      <c r="AR225" s="4"/>
    </row>
    <row r="226" spans="4:44">
      <c r="D226" s="5">
        <v>-25.2</v>
      </c>
      <c r="E226" s="5">
        <v>309.93</v>
      </c>
      <c r="F226" s="5">
        <v>28.256</v>
      </c>
      <c r="G226" s="2">
        <v>5.4139999999999997</v>
      </c>
      <c r="H226" s="5">
        <f t="shared" si="12"/>
        <v>99.908000000000001</v>
      </c>
      <c r="I226" s="5">
        <f t="shared" si="13"/>
        <v>90</v>
      </c>
      <c r="K226" s="5">
        <v>0.4</v>
      </c>
      <c r="L226" s="5">
        <v>162.42000000000002</v>
      </c>
      <c r="M226" s="5">
        <v>32.57</v>
      </c>
      <c r="N226" s="5">
        <v>2.423</v>
      </c>
      <c r="O226" s="5">
        <f t="shared" si="14"/>
        <v>780</v>
      </c>
      <c r="P226" s="5">
        <f t="shared" si="15"/>
        <v>90</v>
      </c>
      <c r="R226" s="5">
        <v>17.5</v>
      </c>
      <c r="S226" s="5">
        <v>35.450000000000003</v>
      </c>
      <c r="T226" s="5">
        <v>35.706000000000003</v>
      </c>
      <c r="U226" s="2">
        <v>0.41249999999999998</v>
      </c>
      <c r="V226" s="5">
        <v>78</v>
      </c>
      <c r="W226" s="5">
        <v>78</v>
      </c>
      <c r="AA226" s="2"/>
      <c r="AJ226" s="4"/>
      <c r="AR226" s="4"/>
    </row>
    <row r="227" spans="4:44">
      <c r="D227" s="5">
        <v>-25.2</v>
      </c>
      <c r="E227" s="5">
        <v>309.45749999999998</v>
      </c>
      <c r="F227" s="5">
        <v>28.256</v>
      </c>
      <c r="G227" s="2">
        <v>5.4204999999999997</v>
      </c>
      <c r="H227" s="5">
        <f t="shared" si="12"/>
        <v>99.908000000000001</v>
      </c>
      <c r="I227" s="5">
        <f t="shared" si="13"/>
        <v>90</v>
      </c>
      <c r="K227" s="5">
        <v>0.77500000000000002</v>
      </c>
      <c r="L227" s="5">
        <v>158.32</v>
      </c>
      <c r="M227" s="5">
        <v>32.57</v>
      </c>
      <c r="N227" s="5">
        <v>2.3845000000000001</v>
      </c>
      <c r="O227" s="5">
        <f t="shared" si="14"/>
        <v>780</v>
      </c>
      <c r="P227" s="5">
        <f t="shared" si="15"/>
        <v>90</v>
      </c>
      <c r="R227" s="5">
        <v>17.574999999999999</v>
      </c>
      <c r="S227" s="5">
        <v>35.727499999999999</v>
      </c>
      <c r="T227" s="5">
        <v>35.706000000000003</v>
      </c>
      <c r="U227" s="2">
        <v>0.41242499999999999</v>
      </c>
      <c r="V227" s="5">
        <v>78</v>
      </c>
      <c r="W227" s="5">
        <v>78</v>
      </c>
      <c r="AA227" s="2"/>
      <c r="AJ227" s="4"/>
      <c r="AR227" s="4"/>
    </row>
    <row r="228" spans="4:44">
      <c r="D228" s="5">
        <v>-25.2</v>
      </c>
      <c r="E228" s="5">
        <v>308.98500000000001</v>
      </c>
      <c r="F228" s="5">
        <v>28.256</v>
      </c>
      <c r="G228" s="2">
        <v>5.4269999999999996</v>
      </c>
      <c r="H228" s="5">
        <f t="shared" si="12"/>
        <v>99.908000000000001</v>
      </c>
      <c r="I228" s="5">
        <f t="shared" si="13"/>
        <v>90</v>
      </c>
      <c r="K228" s="5">
        <v>1.1499999999999999</v>
      </c>
      <c r="L228" s="5">
        <v>154.22</v>
      </c>
      <c r="M228" s="5">
        <v>32.57</v>
      </c>
      <c r="N228" s="5">
        <v>2.3460000000000001</v>
      </c>
      <c r="O228" s="5">
        <f t="shared" si="14"/>
        <v>780</v>
      </c>
      <c r="P228" s="5">
        <f t="shared" si="15"/>
        <v>90</v>
      </c>
      <c r="R228" s="5">
        <v>17.649999999999999</v>
      </c>
      <c r="S228" s="5">
        <v>36.004999999999995</v>
      </c>
      <c r="T228" s="5">
        <v>35.706000000000003</v>
      </c>
      <c r="U228" s="2">
        <v>0.41234999999999999</v>
      </c>
      <c r="V228" s="5">
        <v>78</v>
      </c>
      <c r="W228" s="5">
        <v>78</v>
      </c>
      <c r="AA228" s="2"/>
      <c r="AJ228" s="4"/>
      <c r="AR228" s="4"/>
    </row>
    <row r="229" spans="4:44">
      <c r="D229" s="5">
        <v>-25.2</v>
      </c>
      <c r="E229" s="5">
        <v>308.51249999999999</v>
      </c>
      <c r="F229" s="5">
        <v>28.256</v>
      </c>
      <c r="G229" s="2">
        <v>5.4334999999999996</v>
      </c>
      <c r="H229" s="5">
        <f t="shared" si="12"/>
        <v>99.908000000000001</v>
      </c>
      <c r="I229" s="5">
        <f t="shared" si="13"/>
        <v>90</v>
      </c>
      <c r="K229" s="5">
        <v>1.5249999999999999</v>
      </c>
      <c r="L229" s="5">
        <v>150.12</v>
      </c>
      <c r="M229" s="5">
        <v>32.57</v>
      </c>
      <c r="N229" s="5">
        <v>2.3075000000000001</v>
      </c>
      <c r="O229" s="5">
        <f t="shared" si="14"/>
        <v>780</v>
      </c>
      <c r="P229" s="5">
        <f t="shared" si="15"/>
        <v>90</v>
      </c>
      <c r="R229" s="5">
        <v>17.725000000000001</v>
      </c>
      <c r="S229" s="5">
        <v>36.282499999999999</v>
      </c>
      <c r="T229" s="5">
        <v>35.706000000000003</v>
      </c>
      <c r="U229" s="2">
        <v>0.412275</v>
      </c>
      <c r="V229" s="5">
        <v>78</v>
      </c>
      <c r="W229" s="5">
        <v>78</v>
      </c>
      <c r="AA229" s="2"/>
      <c r="AJ229" s="4"/>
      <c r="AR229" s="4"/>
    </row>
    <row r="230" spans="4:44">
      <c r="D230" s="5">
        <v>-25.2</v>
      </c>
      <c r="E230" s="5">
        <v>308.03999999999996</v>
      </c>
      <c r="F230" s="5">
        <v>28.256</v>
      </c>
      <c r="G230" s="2">
        <v>5.4399999999999995</v>
      </c>
      <c r="H230" s="5">
        <f t="shared" si="12"/>
        <v>99.908000000000001</v>
      </c>
      <c r="I230" s="5">
        <f t="shared" si="13"/>
        <v>90</v>
      </c>
      <c r="K230" s="5">
        <v>1.9</v>
      </c>
      <c r="L230" s="5">
        <v>146.02000000000001</v>
      </c>
      <c r="M230" s="5">
        <v>32.57</v>
      </c>
      <c r="N230" s="5">
        <v>2.2690000000000001</v>
      </c>
      <c r="O230" s="5">
        <f t="shared" si="14"/>
        <v>780</v>
      </c>
      <c r="P230" s="5">
        <f t="shared" si="15"/>
        <v>90</v>
      </c>
      <c r="R230" s="5">
        <v>17.8</v>
      </c>
      <c r="S230" s="5">
        <v>36.56</v>
      </c>
      <c r="T230" s="5">
        <v>35.706000000000003</v>
      </c>
      <c r="U230" s="2">
        <v>0.41220000000000001</v>
      </c>
      <c r="V230" s="5">
        <v>78</v>
      </c>
      <c r="W230" s="5">
        <v>78</v>
      </c>
      <c r="AA230" s="2"/>
      <c r="AJ230" s="4"/>
      <c r="AR230" s="4"/>
    </row>
    <row r="231" spans="4:44">
      <c r="D231" s="5">
        <v>-24.875</v>
      </c>
      <c r="E231" s="5">
        <v>293.02749999999997</v>
      </c>
      <c r="F231" s="5">
        <v>28.256</v>
      </c>
      <c r="G231" s="2">
        <v>5.4139999999999997</v>
      </c>
      <c r="H231" s="5">
        <f t="shared" si="12"/>
        <v>99.550195312499994</v>
      </c>
      <c r="I231" s="5">
        <f t="shared" si="13"/>
        <v>90</v>
      </c>
      <c r="K231" s="5">
        <v>2.125</v>
      </c>
      <c r="L231" s="5">
        <v>145.16500000000002</v>
      </c>
      <c r="M231" s="5">
        <v>32.57</v>
      </c>
      <c r="N231" s="5">
        <v>2.23075</v>
      </c>
      <c r="O231" s="5">
        <f t="shared" si="14"/>
        <v>780</v>
      </c>
      <c r="P231" s="5">
        <f t="shared" si="15"/>
        <v>90</v>
      </c>
      <c r="R231" s="5">
        <v>18</v>
      </c>
      <c r="S231" s="5">
        <v>36.6</v>
      </c>
      <c r="T231" s="5">
        <v>35.706000000000003</v>
      </c>
      <c r="U231" s="2">
        <v>0.41199999999999998</v>
      </c>
      <c r="V231" s="5">
        <v>78</v>
      </c>
      <c r="W231" s="5">
        <v>78</v>
      </c>
      <c r="AA231" s="2"/>
      <c r="AJ231" s="4"/>
      <c r="AR231" s="4"/>
    </row>
    <row r="232" spans="4:44">
      <c r="D232" s="5">
        <v>-24.55</v>
      </c>
      <c r="E232" s="5">
        <v>278.01499999999999</v>
      </c>
      <c r="F232" s="5">
        <v>28.256</v>
      </c>
      <c r="G232" s="2">
        <v>5.3879999999999999</v>
      </c>
      <c r="H232" s="5">
        <f t="shared" si="12"/>
        <v>99.19503125</v>
      </c>
      <c r="I232" s="5">
        <f t="shared" si="13"/>
        <v>90</v>
      </c>
      <c r="K232" s="5">
        <v>2.35</v>
      </c>
      <c r="L232" s="5">
        <v>144.31</v>
      </c>
      <c r="M232" s="5">
        <v>32.57</v>
      </c>
      <c r="N232" s="5">
        <v>2.1924999999999999</v>
      </c>
      <c r="O232" s="5">
        <f t="shared" si="14"/>
        <v>780</v>
      </c>
      <c r="P232" s="5">
        <f t="shared" si="15"/>
        <v>90</v>
      </c>
      <c r="R232" s="5">
        <v>18.2</v>
      </c>
      <c r="S232" s="5">
        <v>36.64</v>
      </c>
      <c r="T232" s="5">
        <v>35.706000000000003</v>
      </c>
      <c r="U232" s="2">
        <v>0.4118</v>
      </c>
      <c r="V232" s="5">
        <v>78</v>
      </c>
      <c r="W232" s="5">
        <v>78</v>
      </c>
      <c r="AA232" s="2"/>
      <c r="AJ232" s="4"/>
      <c r="AR232" s="4"/>
    </row>
    <row r="233" spans="4:44">
      <c r="D233" s="5">
        <v>-24.225000000000001</v>
      </c>
      <c r="E233" s="5">
        <v>263.0025</v>
      </c>
      <c r="F233" s="5">
        <v>28.256</v>
      </c>
      <c r="G233" s="2">
        <v>5.3619999999999992</v>
      </c>
      <c r="H233" s="5">
        <f t="shared" si="12"/>
        <v>98.842507812500003</v>
      </c>
      <c r="I233" s="5">
        <f t="shared" si="13"/>
        <v>90</v>
      </c>
      <c r="K233" s="5">
        <v>2.5750000000000002</v>
      </c>
      <c r="L233" s="5">
        <v>143.45499999999998</v>
      </c>
      <c r="M233" s="5">
        <v>32.57</v>
      </c>
      <c r="N233" s="5">
        <v>2.1542499999999998</v>
      </c>
      <c r="O233" s="5">
        <f t="shared" si="14"/>
        <v>780</v>
      </c>
      <c r="P233" s="5">
        <f t="shared" si="15"/>
        <v>90</v>
      </c>
      <c r="R233" s="5">
        <v>18.399999999999999</v>
      </c>
      <c r="S233" s="5">
        <v>36.68</v>
      </c>
      <c r="T233" s="5">
        <v>35.706000000000003</v>
      </c>
      <c r="U233" s="2">
        <v>0.41159999999999997</v>
      </c>
      <c r="V233" s="5">
        <v>78</v>
      </c>
      <c r="W233" s="5">
        <v>78</v>
      </c>
      <c r="AA233" s="2"/>
      <c r="AJ233" s="4"/>
      <c r="AR233" s="4"/>
    </row>
    <row r="234" spans="4:44">
      <c r="D234" s="5">
        <v>-23.9</v>
      </c>
      <c r="E234" s="5">
        <v>247.99</v>
      </c>
      <c r="F234" s="5">
        <v>28.256</v>
      </c>
      <c r="G234" s="2">
        <v>5.3359999999999994</v>
      </c>
      <c r="H234" s="5">
        <f t="shared" si="12"/>
        <v>98.492625000000004</v>
      </c>
      <c r="I234" s="5">
        <f t="shared" si="13"/>
        <v>90</v>
      </c>
      <c r="K234" s="5">
        <v>2.8</v>
      </c>
      <c r="L234" s="5">
        <v>142.6</v>
      </c>
      <c r="M234" s="5">
        <v>32.57</v>
      </c>
      <c r="N234" s="5">
        <v>2.1160000000000001</v>
      </c>
      <c r="O234" s="5">
        <f t="shared" si="14"/>
        <v>780</v>
      </c>
      <c r="P234" s="5">
        <f t="shared" si="15"/>
        <v>90</v>
      </c>
      <c r="R234" s="5">
        <v>18.600000000000001</v>
      </c>
      <c r="S234" s="5">
        <v>36.72</v>
      </c>
      <c r="T234" s="5">
        <v>35.706000000000003</v>
      </c>
      <c r="U234" s="2">
        <v>0.41139999999999999</v>
      </c>
      <c r="V234" s="5">
        <v>78</v>
      </c>
      <c r="W234" s="5">
        <v>78</v>
      </c>
      <c r="AA234" s="2"/>
      <c r="AJ234" s="4"/>
      <c r="AR234" s="4"/>
    </row>
    <row r="235" spans="4:44">
      <c r="D235" s="5">
        <v>-23.15</v>
      </c>
      <c r="E235" s="5">
        <v>224.48000000000002</v>
      </c>
      <c r="F235" s="5">
        <v>28.256</v>
      </c>
      <c r="G235" s="2">
        <v>5.2684999999999995</v>
      </c>
      <c r="H235" s="5">
        <f t="shared" si="12"/>
        <v>97.695281249999994</v>
      </c>
      <c r="I235" s="5">
        <f t="shared" si="13"/>
        <v>90</v>
      </c>
      <c r="K235" s="5">
        <v>3.125</v>
      </c>
      <c r="L235" s="5">
        <v>142.5975</v>
      </c>
      <c r="M235" s="5">
        <v>32.57</v>
      </c>
      <c r="N235" s="5">
        <v>2.1320000000000001</v>
      </c>
      <c r="O235" s="5">
        <f t="shared" si="14"/>
        <v>780</v>
      </c>
      <c r="P235" s="5">
        <f t="shared" si="15"/>
        <v>90</v>
      </c>
      <c r="R235" s="5">
        <v>18.774999999999999</v>
      </c>
      <c r="S235" s="5">
        <v>36.659999999999997</v>
      </c>
      <c r="T235" s="5">
        <v>35.706000000000003</v>
      </c>
      <c r="U235" s="2">
        <v>0.41122500000000001</v>
      </c>
      <c r="V235" s="5">
        <v>78</v>
      </c>
      <c r="W235" s="5">
        <v>78</v>
      </c>
      <c r="AA235" s="2"/>
      <c r="AJ235" s="4"/>
      <c r="AR235" s="4"/>
    </row>
    <row r="236" spans="4:44">
      <c r="D236" s="5">
        <v>-22.4</v>
      </c>
      <c r="E236" s="5">
        <v>200.97000000000003</v>
      </c>
      <c r="F236" s="5">
        <v>28.256</v>
      </c>
      <c r="G236" s="2">
        <v>5.2009999999999996</v>
      </c>
      <c r="H236" s="5">
        <f t="shared" si="12"/>
        <v>96.912000000000006</v>
      </c>
      <c r="I236" s="5">
        <f t="shared" si="13"/>
        <v>90</v>
      </c>
      <c r="K236" s="5">
        <v>3.45</v>
      </c>
      <c r="L236" s="5">
        <v>142.595</v>
      </c>
      <c r="M236" s="5">
        <v>32.57</v>
      </c>
      <c r="N236" s="5">
        <v>2.1480000000000001</v>
      </c>
      <c r="O236" s="5">
        <f t="shared" si="14"/>
        <v>780</v>
      </c>
      <c r="P236" s="5">
        <f t="shared" si="15"/>
        <v>90</v>
      </c>
      <c r="R236" s="5">
        <v>18.95</v>
      </c>
      <c r="S236" s="5">
        <v>36.6</v>
      </c>
      <c r="T236" s="5">
        <v>35.706000000000003</v>
      </c>
      <c r="U236" s="2">
        <v>0.41104999999999997</v>
      </c>
      <c r="V236" s="5">
        <v>78</v>
      </c>
      <c r="W236" s="5">
        <v>78</v>
      </c>
      <c r="AA236" s="2"/>
      <c r="AJ236" s="4"/>
      <c r="AR236" s="4"/>
    </row>
    <row r="237" spans="4:44">
      <c r="D237" s="5">
        <v>-21.65</v>
      </c>
      <c r="E237" s="5">
        <v>177.45999999999998</v>
      </c>
      <c r="F237" s="5">
        <v>28.256</v>
      </c>
      <c r="G237" s="2">
        <v>5.1334999999999997</v>
      </c>
      <c r="H237" s="5">
        <f t="shared" si="12"/>
        <v>96.142781249999999</v>
      </c>
      <c r="I237" s="5">
        <f t="shared" si="13"/>
        <v>90</v>
      </c>
      <c r="K237" s="5">
        <v>3.774999999999999</v>
      </c>
      <c r="L237" s="5">
        <v>142.5925</v>
      </c>
      <c r="M237" s="5">
        <v>32.57</v>
      </c>
      <c r="N237" s="5">
        <v>2.1640000000000001</v>
      </c>
      <c r="O237" s="5">
        <f t="shared" si="14"/>
        <v>780</v>
      </c>
      <c r="P237" s="5">
        <f t="shared" si="15"/>
        <v>90</v>
      </c>
      <c r="R237" s="5">
        <v>19.125</v>
      </c>
      <c r="S237" s="5">
        <v>36.54</v>
      </c>
      <c r="T237" s="5">
        <v>35.706000000000003</v>
      </c>
      <c r="U237" s="2">
        <v>0.43774999999999997</v>
      </c>
      <c r="V237" s="5">
        <v>78</v>
      </c>
      <c r="W237" s="5">
        <v>78</v>
      </c>
      <c r="AA237" s="2"/>
      <c r="AJ237" s="4"/>
      <c r="AR237" s="4"/>
    </row>
    <row r="238" spans="4:44">
      <c r="D238" s="5">
        <v>-20.9</v>
      </c>
      <c r="E238" s="5">
        <v>153.94999999999999</v>
      </c>
      <c r="F238" s="5">
        <v>28.256</v>
      </c>
      <c r="G238" s="2">
        <v>5.0659999999999998</v>
      </c>
      <c r="H238" s="5">
        <f t="shared" si="12"/>
        <v>95.387625</v>
      </c>
      <c r="I238" s="5">
        <f t="shared" si="13"/>
        <v>90</v>
      </c>
      <c r="K238" s="5">
        <v>4.0999999999999996</v>
      </c>
      <c r="L238" s="5">
        <v>142.59</v>
      </c>
      <c r="M238" s="5">
        <v>32.57</v>
      </c>
      <c r="N238" s="5">
        <v>2.1800000000000002</v>
      </c>
      <c r="O238" s="5">
        <f t="shared" si="14"/>
        <v>780</v>
      </c>
      <c r="P238" s="5">
        <f t="shared" si="15"/>
        <v>90</v>
      </c>
      <c r="R238" s="5">
        <v>19.3</v>
      </c>
      <c r="S238" s="5">
        <v>36.480000000000004</v>
      </c>
      <c r="T238" s="5">
        <v>35.706000000000003</v>
      </c>
      <c r="U238" s="2">
        <v>0.46699999999999997</v>
      </c>
      <c r="V238" s="5">
        <v>78</v>
      </c>
      <c r="W238" s="5">
        <v>78</v>
      </c>
      <c r="AA238" s="2"/>
      <c r="AJ238" s="4"/>
      <c r="AR238" s="4"/>
    </row>
    <row r="239" spans="4:44">
      <c r="D239" s="5">
        <v>-20.324999999999999</v>
      </c>
      <c r="E239" s="5">
        <v>145.245</v>
      </c>
      <c r="F239" s="5">
        <v>28.256</v>
      </c>
      <c r="G239" s="2">
        <v>4.944</v>
      </c>
      <c r="H239" s="5">
        <f t="shared" si="12"/>
        <v>94.818195312499995</v>
      </c>
      <c r="I239" s="5">
        <f t="shared" si="13"/>
        <v>90</v>
      </c>
      <c r="K239" s="5">
        <v>4.375</v>
      </c>
      <c r="L239" s="5">
        <v>134.3125</v>
      </c>
      <c r="M239" s="5">
        <v>32.57</v>
      </c>
      <c r="N239" s="5">
        <v>2.10175</v>
      </c>
      <c r="O239" s="5">
        <f t="shared" si="14"/>
        <v>780</v>
      </c>
      <c r="P239" s="5">
        <f t="shared" si="15"/>
        <v>90</v>
      </c>
      <c r="R239" s="5">
        <v>19.425000000000001</v>
      </c>
      <c r="S239" s="5">
        <v>36.379999999999995</v>
      </c>
      <c r="T239" s="5">
        <v>35.706000000000003</v>
      </c>
      <c r="U239" s="2">
        <v>0.46375</v>
      </c>
      <c r="V239" s="5">
        <v>78</v>
      </c>
      <c r="W239" s="5">
        <v>78</v>
      </c>
      <c r="AA239" s="2"/>
      <c r="AJ239" s="4"/>
      <c r="AR239" s="4"/>
    </row>
    <row r="240" spans="4:44">
      <c r="D240" s="5">
        <v>-19.75</v>
      </c>
      <c r="E240" s="5">
        <v>136.54</v>
      </c>
      <c r="F240" s="5">
        <v>28.256</v>
      </c>
      <c r="G240" s="2">
        <v>4.8219999999999992</v>
      </c>
      <c r="H240" s="5">
        <f t="shared" si="12"/>
        <v>94.257031249999997</v>
      </c>
      <c r="I240" s="5">
        <f t="shared" si="13"/>
        <v>90</v>
      </c>
      <c r="K240" s="5">
        <v>4.6500000000000004</v>
      </c>
      <c r="L240" s="5">
        <v>126.035</v>
      </c>
      <c r="M240" s="5">
        <v>32.57</v>
      </c>
      <c r="N240" s="5">
        <v>2.0234999999999999</v>
      </c>
      <c r="O240" s="5">
        <f t="shared" si="14"/>
        <v>780</v>
      </c>
      <c r="P240" s="5">
        <f t="shared" si="15"/>
        <v>90</v>
      </c>
      <c r="R240" s="5">
        <v>19.55</v>
      </c>
      <c r="S240" s="5">
        <v>36.28</v>
      </c>
      <c r="T240" s="5">
        <v>35.706000000000003</v>
      </c>
      <c r="U240" s="2">
        <v>0.46050000000000002</v>
      </c>
      <c r="V240" s="5">
        <v>78</v>
      </c>
      <c r="W240" s="5">
        <v>78</v>
      </c>
      <c r="AA240" s="2"/>
      <c r="AJ240" s="4"/>
      <c r="AR240" s="4"/>
    </row>
    <row r="241" spans="4:44">
      <c r="D241" s="5">
        <v>-19.175000000000001</v>
      </c>
      <c r="E241" s="5">
        <v>127.83500000000001</v>
      </c>
      <c r="F241" s="5">
        <v>28.256</v>
      </c>
      <c r="G241" s="2">
        <v>4.6999999999999993</v>
      </c>
      <c r="H241" s="5">
        <f t="shared" si="12"/>
        <v>93.704132812500006</v>
      </c>
      <c r="I241" s="5">
        <f t="shared" si="13"/>
        <v>90</v>
      </c>
      <c r="K241" s="5">
        <v>4.9249999999999998</v>
      </c>
      <c r="L241" s="5">
        <v>117.75750000000001</v>
      </c>
      <c r="M241" s="5">
        <v>32.57</v>
      </c>
      <c r="N241" s="5">
        <v>1.9452499999999999</v>
      </c>
      <c r="O241" s="5">
        <f t="shared" si="14"/>
        <v>780</v>
      </c>
      <c r="P241" s="5">
        <f t="shared" si="15"/>
        <v>90</v>
      </c>
      <c r="R241" s="5">
        <v>19.675000000000001</v>
      </c>
      <c r="S241" s="5">
        <v>36.18</v>
      </c>
      <c r="T241" s="5">
        <v>35.706000000000003</v>
      </c>
      <c r="U241" s="2">
        <v>0.45724999999999999</v>
      </c>
      <c r="V241" s="5">
        <v>78</v>
      </c>
      <c r="W241" s="5">
        <v>78</v>
      </c>
      <c r="AA241" s="2"/>
      <c r="AJ241" s="4"/>
      <c r="AR241" s="4"/>
    </row>
    <row r="242" spans="4:44">
      <c r="D242" s="5">
        <v>-18.600000000000001</v>
      </c>
      <c r="E242" s="5">
        <v>119.13</v>
      </c>
      <c r="F242" s="5">
        <v>28.256</v>
      </c>
      <c r="G242" s="2">
        <v>4.5779999999999994</v>
      </c>
      <c r="H242" s="5">
        <f t="shared" si="12"/>
        <v>93.159500000000008</v>
      </c>
      <c r="I242" s="5">
        <f t="shared" si="13"/>
        <v>90</v>
      </c>
      <c r="K242" s="5">
        <v>5.2</v>
      </c>
      <c r="L242" s="5">
        <v>109.48</v>
      </c>
      <c r="M242" s="5">
        <v>32.57</v>
      </c>
      <c r="N242" s="5">
        <v>1.867</v>
      </c>
      <c r="O242" s="5">
        <f t="shared" si="14"/>
        <v>780</v>
      </c>
      <c r="P242" s="5">
        <f t="shared" si="15"/>
        <v>90</v>
      </c>
      <c r="R242" s="5">
        <v>19.8</v>
      </c>
      <c r="S242" s="5">
        <v>36.08</v>
      </c>
      <c r="T242" s="5">
        <v>35.706000000000003</v>
      </c>
      <c r="U242" s="2">
        <v>0.45400000000000001</v>
      </c>
      <c r="V242" s="5">
        <v>78</v>
      </c>
      <c r="W242" s="5">
        <v>78</v>
      </c>
      <c r="AA242" s="2"/>
      <c r="AJ242" s="4"/>
      <c r="AR242" s="4"/>
    </row>
    <row r="243" spans="4:44">
      <c r="D243" s="5">
        <v>-18.125</v>
      </c>
      <c r="E243" s="5">
        <v>121.27250000000001</v>
      </c>
      <c r="F243" s="5">
        <v>28.256</v>
      </c>
      <c r="G243" s="2">
        <v>4.4994999999999994</v>
      </c>
      <c r="H243" s="5">
        <f t="shared" si="12"/>
        <v>92.7158203125</v>
      </c>
      <c r="I243" s="5">
        <f t="shared" si="13"/>
        <v>90</v>
      </c>
      <c r="K243" s="5">
        <v>5.0999999999999996</v>
      </c>
      <c r="L243" s="5">
        <v>106.265</v>
      </c>
      <c r="M243" s="5">
        <v>32.57</v>
      </c>
      <c r="N243" s="5">
        <v>1.8712500000000001</v>
      </c>
      <c r="O243" s="5">
        <f t="shared" si="14"/>
        <v>780</v>
      </c>
      <c r="P243" s="5">
        <f t="shared" si="15"/>
        <v>90</v>
      </c>
      <c r="R243" s="5">
        <v>19.725000000000001</v>
      </c>
      <c r="S243" s="5">
        <v>35.962499999999999</v>
      </c>
      <c r="T243" s="5">
        <v>35.706000000000003</v>
      </c>
      <c r="U243" s="2">
        <v>0.44525000000000003</v>
      </c>
      <c r="V243" s="5">
        <v>78</v>
      </c>
      <c r="W243" s="5">
        <v>78</v>
      </c>
      <c r="AA243" s="2"/>
      <c r="AJ243" s="4"/>
      <c r="AR243" s="4"/>
    </row>
    <row r="244" spans="4:44">
      <c r="D244" s="5">
        <v>-17.649999999999999</v>
      </c>
      <c r="E244" s="5">
        <v>123.41499999999999</v>
      </c>
      <c r="F244" s="5">
        <v>28.256</v>
      </c>
      <c r="G244" s="2">
        <v>4.4209999999999994</v>
      </c>
      <c r="H244" s="5">
        <f t="shared" si="12"/>
        <v>92.277781250000004</v>
      </c>
      <c r="I244" s="5">
        <f t="shared" si="13"/>
        <v>90</v>
      </c>
      <c r="K244" s="5">
        <v>5</v>
      </c>
      <c r="L244" s="5">
        <v>103.05</v>
      </c>
      <c r="M244" s="5">
        <v>32.57</v>
      </c>
      <c r="N244" s="5">
        <v>1.8754999999999999</v>
      </c>
      <c r="O244" s="5">
        <f t="shared" si="14"/>
        <v>780</v>
      </c>
      <c r="P244" s="5">
        <f t="shared" si="15"/>
        <v>90</v>
      </c>
      <c r="R244" s="5">
        <v>19.649999999999999</v>
      </c>
      <c r="S244" s="5">
        <v>35.844999999999999</v>
      </c>
      <c r="T244" s="5">
        <v>35.706000000000003</v>
      </c>
      <c r="U244" s="2">
        <v>0.4365</v>
      </c>
      <c r="V244" s="5">
        <v>78</v>
      </c>
      <c r="W244" s="5">
        <v>78</v>
      </c>
      <c r="AA244" s="2"/>
      <c r="AJ244" s="4"/>
      <c r="AR244" s="4"/>
    </row>
    <row r="245" spans="4:44">
      <c r="D245" s="5">
        <v>-17.175000000000001</v>
      </c>
      <c r="E245" s="5">
        <v>125.5575</v>
      </c>
      <c r="F245" s="5">
        <v>28.256</v>
      </c>
      <c r="G245" s="2">
        <v>4.3425000000000002</v>
      </c>
      <c r="H245" s="5">
        <f t="shared" si="12"/>
        <v>91.845382812500006</v>
      </c>
      <c r="I245" s="5">
        <f t="shared" si="13"/>
        <v>90</v>
      </c>
      <c r="K245" s="5">
        <v>4.9000000000000004</v>
      </c>
      <c r="L245" s="5">
        <v>99.835000000000008</v>
      </c>
      <c r="M245" s="5">
        <v>32.57</v>
      </c>
      <c r="N245" s="5">
        <v>1.87975</v>
      </c>
      <c r="O245" s="5">
        <f t="shared" si="14"/>
        <v>780</v>
      </c>
      <c r="P245" s="5">
        <f t="shared" si="15"/>
        <v>90</v>
      </c>
      <c r="R245" s="5">
        <v>19.574999999999999</v>
      </c>
      <c r="S245" s="5">
        <v>35.727499999999999</v>
      </c>
      <c r="T245" s="5">
        <v>35.706000000000003</v>
      </c>
      <c r="U245" s="2">
        <v>0.42774999999999996</v>
      </c>
      <c r="V245" s="5">
        <v>78</v>
      </c>
      <c r="W245" s="5">
        <v>78</v>
      </c>
      <c r="AA245" s="2"/>
      <c r="AJ245" s="4"/>
      <c r="AR245" s="4"/>
    </row>
    <row r="246" spans="4:44">
      <c r="D246" s="5">
        <v>-16.7</v>
      </c>
      <c r="E246" s="5">
        <v>127.69999999999999</v>
      </c>
      <c r="F246" s="5">
        <v>28.256</v>
      </c>
      <c r="G246" s="2">
        <v>4.2640000000000002</v>
      </c>
      <c r="H246" s="5">
        <f t="shared" si="12"/>
        <v>91.418624999999992</v>
      </c>
      <c r="I246" s="5">
        <f t="shared" si="13"/>
        <v>90</v>
      </c>
      <c r="K246" s="5">
        <v>4.8</v>
      </c>
      <c r="L246" s="5">
        <v>96.62</v>
      </c>
      <c r="M246" s="5">
        <v>32.57</v>
      </c>
      <c r="N246" s="5">
        <v>1.8840000000000001</v>
      </c>
      <c r="O246" s="5">
        <f t="shared" si="14"/>
        <v>780</v>
      </c>
      <c r="P246" s="5">
        <f t="shared" si="15"/>
        <v>90</v>
      </c>
      <c r="R246" s="5">
        <v>19.5</v>
      </c>
      <c r="S246" s="5">
        <v>35.61</v>
      </c>
      <c r="T246" s="5">
        <v>35.706000000000003</v>
      </c>
      <c r="U246" s="2">
        <v>0.41049999999999998</v>
      </c>
      <c r="V246" s="5">
        <v>78</v>
      </c>
      <c r="W246" s="5">
        <v>78</v>
      </c>
      <c r="AA246" s="2"/>
      <c r="AJ246" s="4"/>
      <c r="AR246" s="4"/>
    </row>
    <row r="247" spans="4:44">
      <c r="D247" s="5">
        <v>-16.45</v>
      </c>
      <c r="E247" s="5">
        <v>131.98249999999999</v>
      </c>
      <c r="F247" s="5">
        <v>28.256</v>
      </c>
      <c r="G247" s="2">
        <v>4.2582500000000003</v>
      </c>
      <c r="H247" s="5">
        <f t="shared" si="12"/>
        <v>91.196281249999998</v>
      </c>
      <c r="I247" s="5">
        <f t="shared" si="13"/>
        <v>90</v>
      </c>
      <c r="K247" s="5">
        <v>4.625</v>
      </c>
      <c r="L247" s="5">
        <v>95.83</v>
      </c>
      <c r="M247" s="5">
        <v>32.57</v>
      </c>
      <c r="N247" s="5">
        <v>1.9137500000000001</v>
      </c>
      <c r="O247" s="5">
        <f t="shared" si="14"/>
        <v>780</v>
      </c>
      <c r="P247" s="5">
        <f t="shared" si="15"/>
        <v>90</v>
      </c>
      <c r="R247" s="5">
        <v>19.625</v>
      </c>
      <c r="S247" s="5">
        <v>35.47</v>
      </c>
      <c r="T247" s="5">
        <v>35.706000000000003</v>
      </c>
      <c r="U247" s="2">
        <v>0.48574999999999996</v>
      </c>
      <c r="V247" s="5">
        <v>78</v>
      </c>
      <c r="W247" s="5">
        <v>78</v>
      </c>
      <c r="AA247" s="2"/>
      <c r="AJ247" s="4"/>
      <c r="AR247" s="4"/>
    </row>
    <row r="248" spans="4:44">
      <c r="D248" s="5">
        <v>-16.2</v>
      </c>
      <c r="E248" s="5">
        <v>136.26499999999999</v>
      </c>
      <c r="F248" s="5">
        <v>28.256</v>
      </c>
      <c r="G248" s="2">
        <v>4.2524999999999995</v>
      </c>
      <c r="H248" s="5">
        <f t="shared" si="12"/>
        <v>90.975499999999997</v>
      </c>
      <c r="I248" s="5">
        <f t="shared" si="13"/>
        <v>90</v>
      </c>
      <c r="K248" s="5">
        <v>4.4499999999999993</v>
      </c>
      <c r="L248" s="5">
        <v>95.04000000000002</v>
      </c>
      <c r="M248" s="5">
        <v>32.57</v>
      </c>
      <c r="N248" s="5">
        <v>1.9435</v>
      </c>
      <c r="O248" s="5">
        <f t="shared" si="14"/>
        <v>780</v>
      </c>
      <c r="P248" s="5">
        <f t="shared" si="15"/>
        <v>90</v>
      </c>
      <c r="R248" s="5">
        <v>19.75</v>
      </c>
      <c r="S248" s="5">
        <v>35.33</v>
      </c>
      <c r="T248" s="5">
        <v>35.706000000000003</v>
      </c>
      <c r="U248" s="2">
        <v>0.55249999999999999</v>
      </c>
      <c r="V248" s="5">
        <v>78</v>
      </c>
      <c r="W248" s="5">
        <v>78</v>
      </c>
      <c r="AA248" s="2"/>
      <c r="AJ248" s="4"/>
      <c r="AR248" s="4"/>
    </row>
    <row r="249" spans="4:44">
      <c r="D249" s="5">
        <v>-15.95</v>
      </c>
      <c r="E249" s="5">
        <v>140.54750000000001</v>
      </c>
      <c r="F249" s="5">
        <v>28.256</v>
      </c>
      <c r="G249" s="2">
        <v>4.2467499999999996</v>
      </c>
      <c r="H249" s="5">
        <f t="shared" si="12"/>
        <v>90.756281250000001</v>
      </c>
      <c r="I249" s="5">
        <f t="shared" si="13"/>
        <v>90</v>
      </c>
      <c r="K249" s="5">
        <v>4.2749999999999986</v>
      </c>
      <c r="L249" s="5">
        <v>94.25</v>
      </c>
      <c r="M249" s="5">
        <v>32.57</v>
      </c>
      <c r="N249" s="5">
        <v>1.9732500000000002</v>
      </c>
      <c r="O249" s="5">
        <f t="shared" si="14"/>
        <v>780</v>
      </c>
      <c r="P249" s="5">
        <f t="shared" si="15"/>
        <v>90</v>
      </c>
      <c r="R249" s="5">
        <v>19.875</v>
      </c>
      <c r="S249" s="5">
        <v>35.19</v>
      </c>
      <c r="T249" s="5">
        <v>35.706000000000003</v>
      </c>
      <c r="U249" s="2">
        <v>0.61924999999999997</v>
      </c>
      <c r="V249" s="5">
        <v>78</v>
      </c>
      <c r="W249" s="5">
        <v>78</v>
      </c>
      <c r="AA249" s="2"/>
      <c r="AJ249" s="4"/>
      <c r="AR249" s="4"/>
    </row>
    <row r="250" spans="4:44">
      <c r="D250" s="5">
        <v>-15.7</v>
      </c>
      <c r="E250" s="5">
        <v>144.83000000000001</v>
      </c>
      <c r="F250" s="5">
        <v>28.256</v>
      </c>
      <c r="G250" s="2">
        <v>4.2409999999999997</v>
      </c>
      <c r="H250" s="5">
        <f t="shared" si="12"/>
        <v>90.538624999999996</v>
      </c>
      <c r="I250" s="5">
        <f t="shared" si="13"/>
        <v>90</v>
      </c>
      <c r="K250" s="5">
        <v>4.0999999999999996</v>
      </c>
      <c r="L250" s="5">
        <v>93.460000000000008</v>
      </c>
      <c r="M250" s="5">
        <v>32.57</v>
      </c>
      <c r="N250" s="5">
        <v>2.0030000000000001</v>
      </c>
      <c r="O250" s="5">
        <f t="shared" si="14"/>
        <v>780</v>
      </c>
      <c r="P250" s="5">
        <f t="shared" si="15"/>
        <v>90</v>
      </c>
      <c r="R250" s="5">
        <v>20</v>
      </c>
      <c r="S250" s="5">
        <v>35.049999999999997</v>
      </c>
      <c r="T250" s="5">
        <v>35.706000000000003</v>
      </c>
      <c r="U250" s="2">
        <v>0.68599999999999994</v>
      </c>
      <c r="V250" s="5">
        <v>78</v>
      </c>
      <c r="W250" s="5">
        <v>78</v>
      </c>
      <c r="AA250" s="2"/>
      <c r="AJ250" s="4"/>
      <c r="AR250" s="4"/>
    </row>
    <row r="251" spans="4:44">
      <c r="D251" s="5">
        <v>-15.5</v>
      </c>
      <c r="E251" s="5">
        <v>152.25749999999999</v>
      </c>
      <c r="F251" s="5">
        <v>28.256</v>
      </c>
      <c r="G251" s="2">
        <v>4.2095000000000002</v>
      </c>
      <c r="H251" s="5">
        <f t="shared" si="12"/>
        <v>90.365624999999994</v>
      </c>
      <c r="I251" s="5">
        <f t="shared" si="13"/>
        <v>90</v>
      </c>
      <c r="K251" s="5">
        <v>3.9249999999999998</v>
      </c>
      <c r="L251" s="5">
        <v>90.805000000000007</v>
      </c>
      <c r="M251" s="5">
        <v>32.57</v>
      </c>
      <c r="N251" s="5">
        <v>2.05775</v>
      </c>
      <c r="O251" s="5">
        <f t="shared" si="14"/>
        <v>780</v>
      </c>
      <c r="P251" s="5">
        <f t="shared" si="15"/>
        <v>90</v>
      </c>
      <c r="R251" s="5">
        <v>20.125</v>
      </c>
      <c r="S251" s="5">
        <v>34.994999999999997</v>
      </c>
      <c r="T251" s="5">
        <v>35.706000000000003</v>
      </c>
      <c r="U251" s="2">
        <v>0.69899999999999995</v>
      </c>
      <c r="V251" s="5">
        <v>78</v>
      </c>
      <c r="W251" s="5">
        <v>78</v>
      </c>
      <c r="AA251" s="2"/>
      <c r="AJ251" s="4"/>
      <c r="AR251" s="4"/>
    </row>
    <row r="252" spans="4:44">
      <c r="D252" s="5">
        <v>-15.3</v>
      </c>
      <c r="E252" s="5">
        <v>159.685</v>
      </c>
      <c r="F252" s="5">
        <v>28.256</v>
      </c>
      <c r="G252" s="2">
        <v>4.1779999999999999</v>
      </c>
      <c r="H252" s="5">
        <f t="shared" si="12"/>
        <v>90.193624999999997</v>
      </c>
      <c r="I252" s="5">
        <f t="shared" si="13"/>
        <v>90</v>
      </c>
      <c r="K252" s="5">
        <v>3.75</v>
      </c>
      <c r="L252" s="5">
        <v>88.15</v>
      </c>
      <c r="M252" s="5">
        <v>32.57</v>
      </c>
      <c r="N252" s="5">
        <v>2.1124999999999998</v>
      </c>
      <c r="O252" s="5">
        <f t="shared" si="14"/>
        <v>780</v>
      </c>
      <c r="P252" s="5">
        <f t="shared" si="15"/>
        <v>90</v>
      </c>
      <c r="R252" s="5">
        <v>20.25</v>
      </c>
      <c r="S252" s="5">
        <v>34.940000000000005</v>
      </c>
      <c r="T252" s="5">
        <v>35.706000000000003</v>
      </c>
      <c r="U252" s="2">
        <v>0.71199999999999997</v>
      </c>
      <c r="V252" s="5">
        <v>78</v>
      </c>
      <c r="W252" s="5">
        <v>78</v>
      </c>
      <c r="AA252" s="2"/>
      <c r="AJ252" s="4"/>
      <c r="AR252" s="4"/>
    </row>
    <row r="253" spans="4:44">
      <c r="D253" s="5">
        <v>-15.1</v>
      </c>
      <c r="E253" s="5">
        <v>167.11250000000001</v>
      </c>
      <c r="F253" s="5">
        <v>28.256</v>
      </c>
      <c r="G253" s="2">
        <v>4.1464999999999996</v>
      </c>
      <c r="H253" s="5">
        <f t="shared" si="12"/>
        <v>90.022625000000005</v>
      </c>
      <c r="I253" s="5">
        <f t="shared" si="13"/>
        <v>90</v>
      </c>
      <c r="K253" s="5">
        <v>3.5750000000000002</v>
      </c>
      <c r="L253" s="5">
        <v>85.495000000000005</v>
      </c>
      <c r="M253" s="5">
        <v>32.57</v>
      </c>
      <c r="N253" s="5">
        <v>2.1672499999999997</v>
      </c>
      <c r="O253" s="5">
        <f t="shared" si="14"/>
        <v>780</v>
      </c>
      <c r="P253" s="5">
        <f t="shared" si="15"/>
        <v>90</v>
      </c>
      <c r="R253" s="5">
        <v>20.375</v>
      </c>
      <c r="S253" s="5">
        <v>34.885000000000005</v>
      </c>
      <c r="T253" s="5">
        <v>35.706000000000003</v>
      </c>
      <c r="U253" s="2">
        <v>0.72499999999999998</v>
      </c>
      <c r="V253" s="5">
        <v>78</v>
      </c>
      <c r="W253" s="5">
        <v>78</v>
      </c>
      <c r="AA253" s="2"/>
      <c r="AJ253" s="4"/>
      <c r="AR253" s="4"/>
    </row>
    <row r="254" spans="4:44">
      <c r="D254" s="5">
        <v>-14.9</v>
      </c>
      <c r="E254" s="5">
        <v>174.54000000000002</v>
      </c>
      <c r="F254" s="5">
        <v>28.256</v>
      </c>
      <c r="G254" s="2">
        <v>4.1150000000000002</v>
      </c>
      <c r="H254" s="5">
        <f t="shared" si="12"/>
        <v>89.852625000000003</v>
      </c>
      <c r="I254" s="5">
        <f t="shared" si="13"/>
        <v>89.852625000000003</v>
      </c>
      <c r="K254" s="5">
        <v>3.4</v>
      </c>
      <c r="L254" s="5">
        <v>82.84</v>
      </c>
      <c r="M254" s="5">
        <v>32.57</v>
      </c>
      <c r="N254" s="5">
        <v>2.222</v>
      </c>
      <c r="O254" s="5">
        <f t="shared" si="14"/>
        <v>780</v>
      </c>
      <c r="P254" s="5">
        <f t="shared" si="15"/>
        <v>90</v>
      </c>
      <c r="R254" s="5">
        <v>20.5</v>
      </c>
      <c r="S254" s="5">
        <v>34.83</v>
      </c>
      <c r="T254" s="5">
        <v>35.706000000000003</v>
      </c>
      <c r="U254" s="2">
        <v>0.73799999999999999</v>
      </c>
      <c r="V254" s="5">
        <v>78</v>
      </c>
      <c r="W254" s="5">
        <v>78</v>
      </c>
      <c r="AA254" s="2"/>
      <c r="AJ254" s="4"/>
      <c r="AR254" s="4"/>
    </row>
    <row r="255" spans="4:44">
      <c r="D255" s="5">
        <v>-14.875</v>
      </c>
      <c r="E255" s="5">
        <v>192.90500000000003</v>
      </c>
      <c r="F255" s="5">
        <v>28.256</v>
      </c>
      <c r="G255" s="2">
        <v>4.1475</v>
      </c>
      <c r="H255" s="5">
        <f t="shared" si="12"/>
        <v>89.831445312499994</v>
      </c>
      <c r="I255" s="5">
        <f t="shared" si="13"/>
        <v>89.831445312499994</v>
      </c>
      <c r="K255" s="5">
        <v>3.3</v>
      </c>
      <c r="L255" s="5">
        <v>83.637499999999989</v>
      </c>
      <c r="M255" s="5">
        <v>32.57</v>
      </c>
      <c r="N255" s="5">
        <v>2.25725</v>
      </c>
      <c r="O255" s="5">
        <f t="shared" si="14"/>
        <v>780</v>
      </c>
      <c r="P255" s="5">
        <f t="shared" si="15"/>
        <v>90</v>
      </c>
      <c r="R255" s="5">
        <v>20.574999999999999</v>
      </c>
      <c r="S255" s="5">
        <v>34.784999999999997</v>
      </c>
      <c r="T255" s="5">
        <v>35.706000000000003</v>
      </c>
      <c r="U255" s="2">
        <v>0.62924999999999998</v>
      </c>
      <c r="V255" s="5">
        <v>78</v>
      </c>
      <c r="W255" s="5">
        <v>78</v>
      </c>
      <c r="AA255" s="2"/>
      <c r="AJ255" s="4"/>
      <c r="AR255" s="4"/>
    </row>
    <row r="256" spans="4:44">
      <c r="D256" s="5">
        <v>-14.85</v>
      </c>
      <c r="E256" s="5">
        <v>211.26999999999998</v>
      </c>
      <c r="F256" s="5">
        <v>28.256</v>
      </c>
      <c r="G256" s="2">
        <v>4.18</v>
      </c>
      <c r="H256" s="5">
        <f t="shared" si="12"/>
        <v>89.810281250000003</v>
      </c>
      <c r="I256" s="5">
        <f t="shared" si="13"/>
        <v>89.810281250000003</v>
      </c>
      <c r="K256" s="5">
        <v>3.2</v>
      </c>
      <c r="L256" s="5">
        <v>84.435000000000002</v>
      </c>
      <c r="M256" s="5">
        <v>32.57</v>
      </c>
      <c r="N256" s="5">
        <v>2.2925</v>
      </c>
      <c r="O256" s="5">
        <f t="shared" si="14"/>
        <v>780</v>
      </c>
      <c r="P256" s="5">
        <f t="shared" si="15"/>
        <v>90</v>
      </c>
      <c r="R256" s="5">
        <v>20.65</v>
      </c>
      <c r="S256" s="5">
        <v>34.74</v>
      </c>
      <c r="T256" s="5">
        <v>35.706000000000003</v>
      </c>
      <c r="U256" s="2">
        <v>0.52049999999999996</v>
      </c>
      <c r="V256" s="5">
        <v>78</v>
      </c>
      <c r="W256" s="5">
        <v>78</v>
      </c>
      <c r="AA256" s="2"/>
      <c r="AJ256" s="4"/>
      <c r="AR256" s="4"/>
    </row>
    <row r="257" spans="4:44">
      <c r="D257" s="5">
        <v>-14.824999999999999</v>
      </c>
      <c r="E257" s="5">
        <v>229.63499999999999</v>
      </c>
      <c r="F257" s="5">
        <v>28.256</v>
      </c>
      <c r="G257" s="2">
        <v>4.2124999999999995</v>
      </c>
      <c r="H257" s="5">
        <f t="shared" si="12"/>
        <v>89.7891328125</v>
      </c>
      <c r="I257" s="5">
        <f t="shared" si="13"/>
        <v>89.7891328125</v>
      </c>
      <c r="K257" s="5">
        <v>3.1</v>
      </c>
      <c r="L257" s="5">
        <v>85.232500000000016</v>
      </c>
      <c r="M257" s="5">
        <v>32.57</v>
      </c>
      <c r="N257" s="5">
        <v>2.32775</v>
      </c>
      <c r="O257" s="5">
        <f t="shared" si="14"/>
        <v>780</v>
      </c>
      <c r="P257" s="5">
        <f t="shared" si="15"/>
        <v>90</v>
      </c>
      <c r="R257" s="5">
        <v>20.725000000000001</v>
      </c>
      <c r="S257" s="5">
        <v>34.695</v>
      </c>
      <c r="T257" s="5">
        <v>35.706000000000003</v>
      </c>
      <c r="U257" s="2">
        <v>0.409275</v>
      </c>
      <c r="V257" s="5">
        <v>78</v>
      </c>
      <c r="W257" s="5">
        <v>78</v>
      </c>
      <c r="AA257" s="2"/>
      <c r="AJ257" s="4"/>
      <c r="AR257" s="4"/>
    </row>
    <row r="258" spans="4:44">
      <c r="D258" s="5">
        <v>-14.8</v>
      </c>
      <c r="E258" s="5">
        <v>248</v>
      </c>
      <c r="F258" s="5">
        <v>28.256</v>
      </c>
      <c r="G258" s="2">
        <v>4.2450000000000001</v>
      </c>
      <c r="H258" s="5">
        <f t="shared" si="12"/>
        <v>89.768000000000001</v>
      </c>
      <c r="I258" s="5">
        <f t="shared" si="13"/>
        <v>89.768000000000001</v>
      </c>
      <c r="K258" s="5">
        <v>3</v>
      </c>
      <c r="L258" s="5">
        <v>86.03</v>
      </c>
      <c r="M258" s="5">
        <v>32.57</v>
      </c>
      <c r="N258" s="5">
        <v>2.363</v>
      </c>
      <c r="O258" s="5">
        <f t="shared" si="14"/>
        <v>780</v>
      </c>
      <c r="P258" s="5">
        <f t="shared" si="15"/>
        <v>90</v>
      </c>
      <c r="R258" s="5">
        <v>20.8</v>
      </c>
      <c r="S258" s="5">
        <v>34.65</v>
      </c>
      <c r="T258" s="5">
        <v>35.706000000000003</v>
      </c>
      <c r="U258" s="2">
        <v>0.40920000000000001</v>
      </c>
      <c r="V258" s="5">
        <v>78</v>
      </c>
      <c r="W258" s="5">
        <v>78</v>
      </c>
      <c r="AA258" s="2"/>
      <c r="AJ258" s="4"/>
      <c r="AR258" s="4"/>
    </row>
    <row r="259" spans="4:44">
      <c r="D259" s="5">
        <v>-15.25</v>
      </c>
      <c r="E259" s="5">
        <v>234.05</v>
      </c>
      <c r="F259" s="5">
        <v>28.256</v>
      </c>
      <c r="G259" s="2">
        <v>4.258</v>
      </c>
      <c r="H259" s="5">
        <f t="shared" ref="H259:H322" si="16">IF(D259&lt;0,0.0125*D259^2-0.475*D259+80,80)</f>
        <v>90.150781249999994</v>
      </c>
      <c r="I259" s="5">
        <f t="shared" ref="I259:I322" si="17">IF(H259&lt;90,H259,90)</f>
        <v>90</v>
      </c>
      <c r="K259" s="5">
        <v>2.9249999999999998</v>
      </c>
      <c r="L259" s="5">
        <v>87.092500000000001</v>
      </c>
      <c r="M259" s="5">
        <v>32.57</v>
      </c>
      <c r="N259" s="5">
        <v>2.3639999999999999</v>
      </c>
      <c r="O259" s="5">
        <f t="shared" ref="O259:O322" si="18">IF(K259&lt;0,0.0125*K259^2-0.475*K259+80,780)</f>
        <v>780</v>
      </c>
      <c r="P259" s="5">
        <f t="shared" ref="P259:P322" si="19">IF(O259&lt;90,O259,90)</f>
        <v>90</v>
      </c>
      <c r="R259" s="5">
        <v>21</v>
      </c>
      <c r="S259" s="5">
        <v>34.645000000000003</v>
      </c>
      <c r="T259" s="5">
        <v>35.706000000000003</v>
      </c>
      <c r="U259" s="2">
        <v>0.40899999999999997</v>
      </c>
      <c r="V259" s="5">
        <v>78</v>
      </c>
      <c r="W259" s="5">
        <v>78</v>
      </c>
      <c r="AA259" s="2"/>
      <c r="AJ259" s="4"/>
      <c r="AR259" s="4"/>
    </row>
    <row r="260" spans="4:44">
      <c r="D260" s="5">
        <v>-15.7</v>
      </c>
      <c r="E260" s="5">
        <v>220.10000000000002</v>
      </c>
      <c r="F260" s="5">
        <v>28.256</v>
      </c>
      <c r="G260" s="2">
        <v>4.2709999999999999</v>
      </c>
      <c r="H260" s="5">
        <f t="shared" si="16"/>
        <v>90.538624999999996</v>
      </c>
      <c r="I260" s="5">
        <f t="shared" si="17"/>
        <v>90</v>
      </c>
      <c r="K260" s="5">
        <v>2.85</v>
      </c>
      <c r="L260" s="5">
        <v>88.155000000000001</v>
      </c>
      <c r="M260" s="5">
        <v>32.57</v>
      </c>
      <c r="N260" s="5">
        <v>2.3649999999999998</v>
      </c>
      <c r="O260" s="5">
        <f t="shared" si="18"/>
        <v>780</v>
      </c>
      <c r="P260" s="5">
        <f t="shared" si="19"/>
        <v>90</v>
      </c>
      <c r="R260" s="5">
        <v>21.2</v>
      </c>
      <c r="S260" s="5">
        <v>34.64</v>
      </c>
      <c r="T260" s="5">
        <v>35.706000000000003</v>
      </c>
      <c r="U260" s="2">
        <v>0.4088</v>
      </c>
      <c r="V260" s="5">
        <v>78</v>
      </c>
      <c r="W260" s="5">
        <v>78</v>
      </c>
      <c r="AA260" s="2"/>
      <c r="AJ260" s="4"/>
      <c r="AR260" s="4"/>
    </row>
    <row r="261" spans="4:44">
      <c r="D261" s="5">
        <v>-16.149999999999999</v>
      </c>
      <c r="E261" s="5">
        <v>206.14999999999998</v>
      </c>
      <c r="F261" s="5">
        <v>28.256</v>
      </c>
      <c r="G261" s="2">
        <v>4.2839999999999998</v>
      </c>
      <c r="H261" s="5">
        <f t="shared" si="16"/>
        <v>90.931531250000006</v>
      </c>
      <c r="I261" s="5">
        <f t="shared" si="17"/>
        <v>90</v>
      </c>
      <c r="K261" s="5">
        <v>2.7749999999999999</v>
      </c>
      <c r="L261" s="5">
        <v>89.217500000000001</v>
      </c>
      <c r="M261" s="5">
        <v>32.57</v>
      </c>
      <c r="N261" s="5">
        <v>2.3660000000000001</v>
      </c>
      <c r="O261" s="5">
        <f t="shared" si="18"/>
        <v>780</v>
      </c>
      <c r="P261" s="5">
        <f t="shared" si="19"/>
        <v>90</v>
      </c>
      <c r="R261" s="5">
        <v>21.4</v>
      </c>
      <c r="S261" s="5">
        <v>34.634999999999998</v>
      </c>
      <c r="T261" s="5">
        <v>35.706000000000003</v>
      </c>
      <c r="U261" s="2">
        <v>0.40860000000000002</v>
      </c>
      <c r="V261" s="5">
        <v>78</v>
      </c>
      <c r="W261" s="5">
        <v>78</v>
      </c>
      <c r="AA261" s="2"/>
      <c r="AJ261" s="4"/>
      <c r="AR261" s="4"/>
    </row>
    <row r="262" spans="4:44">
      <c r="D262" s="5">
        <v>-16.600000000000001</v>
      </c>
      <c r="E262" s="5">
        <v>192.2</v>
      </c>
      <c r="F262" s="5">
        <v>28.256</v>
      </c>
      <c r="G262" s="2">
        <v>4.2969999999999997</v>
      </c>
      <c r="H262" s="5">
        <f t="shared" si="16"/>
        <v>91.329499999999996</v>
      </c>
      <c r="I262" s="5">
        <f t="shared" si="17"/>
        <v>90</v>
      </c>
      <c r="K262" s="5">
        <v>2.7</v>
      </c>
      <c r="L262" s="5">
        <v>90.28</v>
      </c>
      <c r="M262" s="5">
        <v>32.57</v>
      </c>
      <c r="N262" s="5">
        <v>2.367</v>
      </c>
      <c r="O262" s="5">
        <f t="shared" si="18"/>
        <v>780</v>
      </c>
      <c r="P262" s="5">
        <f t="shared" si="19"/>
        <v>90</v>
      </c>
      <c r="R262" s="5">
        <v>21.6</v>
      </c>
      <c r="S262" s="5">
        <v>34.630000000000003</v>
      </c>
      <c r="T262" s="5">
        <v>35.706000000000003</v>
      </c>
      <c r="U262" s="2">
        <v>0.40839999999999999</v>
      </c>
      <c r="V262" s="5">
        <v>78</v>
      </c>
      <c r="W262" s="5">
        <v>78</v>
      </c>
      <c r="AA262" s="2"/>
      <c r="AJ262" s="4"/>
      <c r="AR262" s="4"/>
    </row>
    <row r="263" spans="4:44">
      <c r="D263" s="5">
        <v>-17.3</v>
      </c>
      <c r="E263" s="5">
        <v>196.23000000000002</v>
      </c>
      <c r="F263" s="5">
        <v>28.256</v>
      </c>
      <c r="G263" s="2">
        <v>4.3679999999999994</v>
      </c>
      <c r="H263" s="5">
        <f t="shared" si="16"/>
        <v>91.958624999999998</v>
      </c>
      <c r="I263" s="5">
        <f t="shared" si="17"/>
        <v>90</v>
      </c>
      <c r="K263" s="5">
        <v>2.6749999999999998</v>
      </c>
      <c r="L263" s="5">
        <v>92.472500000000011</v>
      </c>
      <c r="M263" s="5">
        <v>32.57</v>
      </c>
      <c r="N263" s="5">
        <v>2.3287499999999999</v>
      </c>
      <c r="O263" s="5">
        <f t="shared" si="18"/>
        <v>780</v>
      </c>
      <c r="P263" s="5">
        <f t="shared" si="19"/>
        <v>90</v>
      </c>
      <c r="R263" s="5">
        <v>21.625</v>
      </c>
      <c r="S263" s="5">
        <v>35.112499999999997</v>
      </c>
      <c r="T263" s="5">
        <v>35.706000000000003</v>
      </c>
      <c r="U263" s="2">
        <v>0.40837499999999999</v>
      </c>
      <c r="V263" s="5">
        <v>78</v>
      </c>
      <c r="W263" s="5">
        <v>78</v>
      </c>
      <c r="AA263" s="2"/>
      <c r="AJ263" s="4"/>
      <c r="AR263" s="4"/>
    </row>
    <row r="264" spans="4:44">
      <c r="D264" s="5">
        <v>-18</v>
      </c>
      <c r="E264" s="5">
        <v>200.26</v>
      </c>
      <c r="F264" s="5">
        <v>28.256</v>
      </c>
      <c r="G264" s="2">
        <v>4.4390000000000001</v>
      </c>
      <c r="H264" s="5">
        <f t="shared" si="16"/>
        <v>92.6</v>
      </c>
      <c r="I264" s="5">
        <f t="shared" si="17"/>
        <v>90</v>
      </c>
      <c r="K264" s="5">
        <v>2.65</v>
      </c>
      <c r="L264" s="5">
        <v>94.664999999999992</v>
      </c>
      <c r="M264" s="5">
        <v>32.57</v>
      </c>
      <c r="N264" s="5">
        <v>2.2904999999999998</v>
      </c>
      <c r="O264" s="5">
        <f t="shared" si="18"/>
        <v>780</v>
      </c>
      <c r="P264" s="5">
        <f t="shared" si="19"/>
        <v>90</v>
      </c>
      <c r="R264" s="5">
        <v>21.65</v>
      </c>
      <c r="S264" s="5">
        <v>35.594999999999999</v>
      </c>
      <c r="T264" s="5">
        <v>35.706000000000003</v>
      </c>
      <c r="U264" s="2">
        <v>0.40834999999999999</v>
      </c>
      <c r="V264" s="5">
        <v>78</v>
      </c>
      <c r="W264" s="5">
        <v>78</v>
      </c>
      <c r="AA264" s="2"/>
      <c r="AJ264" s="4"/>
      <c r="AR264" s="4"/>
    </row>
    <row r="265" spans="4:44">
      <c r="D265" s="5">
        <v>-18.7</v>
      </c>
      <c r="E265" s="5">
        <v>204.29</v>
      </c>
      <c r="F265" s="5">
        <v>28.256</v>
      </c>
      <c r="G265" s="2">
        <v>4.51</v>
      </c>
      <c r="H265" s="5">
        <f t="shared" si="16"/>
        <v>93.253625</v>
      </c>
      <c r="I265" s="5">
        <f t="shared" si="17"/>
        <v>90</v>
      </c>
      <c r="K265" s="5">
        <v>2.625</v>
      </c>
      <c r="L265" s="5">
        <v>96.857499999999987</v>
      </c>
      <c r="M265" s="5">
        <v>32.57</v>
      </c>
      <c r="N265" s="5">
        <v>2.2522500000000001</v>
      </c>
      <c r="O265" s="5">
        <f t="shared" si="18"/>
        <v>780</v>
      </c>
      <c r="P265" s="5">
        <f t="shared" si="19"/>
        <v>90</v>
      </c>
      <c r="R265" s="5">
        <v>21.675000000000001</v>
      </c>
      <c r="S265" s="5">
        <v>36.077500000000001</v>
      </c>
      <c r="T265" s="5">
        <v>35.706000000000003</v>
      </c>
      <c r="U265" s="2">
        <v>0.40832499999999999</v>
      </c>
      <c r="V265" s="5">
        <v>78</v>
      </c>
      <c r="W265" s="5">
        <v>78</v>
      </c>
      <c r="AA265" s="2"/>
      <c r="AJ265" s="4"/>
      <c r="AR265" s="4"/>
    </row>
    <row r="266" spans="4:44">
      <c r="D266" s="5">
        <v>-19.399999999999999</v>
      </c>
      <c r="E266" s="5">
        <v>208.32</v>
      </c>
      <c r="F266" s="5">
        <v>28.256</v>
      </c>
      <c r="G266" s="2">
        <v>4.5809999999999995</v>
      </c>
      <c r="H266" s="5">
        <f t="shared" si="16"/>
        <v>93.919499999999999</v>
      </c>
      <c r="I266" s="5">
        <f t="shared" si="17"/>
        <v>90</v>
      </c>
      <c r="K266" s="5">
        <v>2.6</v>
      </c>
      <c r="L266" s="5">
        <v>99.05</v>
      </c>
      <c r="M266" s="5">
        <v>32.57</v>
      </c>
      <c r="N266" s="5">
        <v>2.214</v>
      </c>
      <c r="O266" s="5">
        <f t="shared" si="18"/>
        <v>780</v>
      </c>
      <c r="P266" s="5">
        <f t="shared" si="19"/>
        <v>90</v>
      </c>
      <c r="R266" s="5">
        <v>21.7</v>
      </c>
      <c r="S266" s="5">
        <v>36.56</v>
      </c>
      <c r="T266" s="5">
        <v>35.706000000000003</v>
      </c>
      <c r="U266" s="2">
        <v>0.4083</v>
      </c>
      <c r="V266" s="5">
        <v>78</v>
      </c>
      <c r="W266" s="5">
        <v>78</v>
      </c>
      <c r="AA266" s="2"/>
      <c r="AJ266" s="4"/>
      <c r="AR266" s="4"/>
    </row>
    <row r="267" spans="4:44">
      <c r="D267" s="5">
        <v>-19.75</v>
      </c>
      <c r="E267" s="5">
        <v>208.94</v>
      </c>
      <c r="F267" s="5">
        <v>28.256</v>
      </c>
      <c r="G267" s="2">
        <v>4.6404999999999994</v>
      </c>
      <c r="H267" s="5">
        <f t="shared" si="16"/>
        <v>94.257031249999997</v>
      </c>
      <c r="I267" s="5">
        <f t="shared" si="17"/>
        <v>90</v>
      </c>
      <c r="K267" s="5">
        <v>2.5499999999999998</v>
      </c>
      <c r="L267" s="5">
        <v>103.78999999999999</v>
      </c>
      <c r="M267" s="5">
        <v>32.57</v>
      </c>
      <c r="N267" s="5">
        <v>2.2072499999999997</v>
      </c>
      <c r="O267" s="5">
        <f t="shared" si="18"/>
        <v>780</v>
      </c>
      <c r="P267" s="5">
        <f t="shared" si="19"/>
        <v>90</v>
      </c>
      <c r="R267" s="5">
        <v>21.824999999999999</v>
      </c>
      <c r="S267" s="5">
        <v>36.619999999999997</v>
      </c>
      <c r="T267" s="5">
        <v>35.706000000000003</v>
      </c>
      <c r="U267" s="2">
        <v>0.40817500000000001</v>
      </c>
      <c r="V267" s="5">
        <v>78</v>
      </c>
      <c r="W267" s="5">
        <v>78</v>
      </c>
      <c r="AA267" s="2"/>
      <c r="AJ267" s="4"/>
      <c r="AR267" s="4"/>
    </row>
    <row r="268" spans="4:44">
      <c r="D268" s="5">
        <v>-20.100000000000001</v>
      </c>
      <c r="E268" s="5">
        <v>209.56</v>
      </c>
      <c r="F268" s="5">
        <v>28.256</v>
      </c>
      <c r="G268" s="2">
        <v>4.6999999999999993</v>
      </c>
      <c r="H268" s="5">
        <f t="shared" si="16"/>
        <v>94.597624999999994</v>
      </c>
      <c r="I268" s="5">
        <f t="shared" si="17"/>
        <v>90</v>
      </c>
      <c r="K268" s="5">
        <v>2.5</v>
      </c>
      <c r="L268" s="5">
        <v>108.53</v>
      </c>
      <c r="M268" s="5">
        <v>32.57</v>
      </c>
      <c r="N268" s="5">
        <v>2.2004999999999999</v>
      </c>
      <c r="O268" s="5">
        <f t="shared" si="18"/>
        <v>780</v>
      </c>
      <c r="P268" s="5">
        <f t="shared" si="19"/>
        <v>90</v>
      </c>
      <c r="R268" s="5">
        <v>21.95</v>
      </c>
      <c r="S268" s="5">
        <v>36.68</v>
      </c>
      <c r="T268" s="5">
        <v>35.706000000000003</v>
      </c>
      <c r="U268" s="2">
        <v>0.40804999999999997</v>
      </c>
      <c r="V268" s="5">
        <v>78</v>
      </c>
      <c r="W268" s="5">
        <v>78</v>
      </c>
      <c r="AA268" s="2"/>
      <c r="AJ268" s="4"/>
      <c r="AR268" s="4"/>
    </row>
    <row r="269" spans="4:44">
      <c r="D269" s="5">
        <v>-20.45</v>
      </c>
      <c r="E269" s="5">
        <v>210.18</v>
      </c>
      <c r="F269" s="5">
        <v>28.256</v>
      </c>
      <c r="G269" s="2">
        <v>4.7595000000000001</v>
      </c>
      <c r="H269" s="5">
        <f t="shared" si="16"/>
        <v>94.941281250000003</v>
      </c>
      <c r="I269" s="5">
        <f t="shared" si="17"/>
        <v>90</v>
      </c>
      <c r="K269" s="5">
        <v>2.4500000000000002</v>
      </c>
      <c r="L269" s="5">
        <v>113.27</v>
      </c>
      <c r="M269" s="5">
        <v>32.57</v>
      </c>
      <c r="N269" s="5">
        <v>2.1937500000000001</v>
      </c>
      <c r="O269" s="5">
        <f t="shared" si="18"/>
        <v>780</v>
      </c>
      <c r="P269" s="5">
        <f t="shared" si="19"/>
        <v>90</v>
      </c>
      <c r="R269" s="5">
        <v>22.074999999999999</v>
      </c>
      <c r="S269" s="5">
        <v>36.74</v>
      </c>
      <c r="T269" s="5">
        <v>35.706000000000003</v>
      </c>
      <c r="U269" s="2">
        <v>0.40792499999999998</v>
      </c>
      <c r="V269" s="5">
        <v>78</v>
      </c>
      <c r="W269" s="5">
        <v>78</v>
      </c>
      <c r="AA269" s="2"/>
      <c r="AJ269" s="4"/>
      <c r="AR269" s="4"/>
    </row>
    <row r="270" spans="4:44">
      <c r="D270" s="5">
        <v>-20.8</v>
      </c>
      <c r="E270" s="5">
        <v>210.79999999999998</v>
      </c>
      <c r="F270" s="5">
        <v>28.256</v>
      </c>
      <c r="G270" s="2">
        <v>4.819</v>
      </c>
      <c r="H270" s="5">
        <f t="shared" si="16"/>
        <v>95.287999999999997</v>
      </c>
      <c r="I270" s="5">
        <f t="shared" si="17"/>
        <v>90</v>
      </c>
      <c r="K270" s="5">
        <v>2.4</v>
      </c>
      <c r="L270" s="5">
        <v>118.01</v>
      </c>
      <c r="M270" s="5">
        <v>32.57</v>
      </c>
      <c r="N270" s="5">
        <v>2.1869999999999998</v>
      </c>
      <c r="O270" s="5">
        <f t="shared" si="18"/>
        <v>780</v>
      </c>
      <c r="P270" s="5">
        <f t="shared" si="19"/>
        <v>90</v>
      </c>
      <c r="R270" s="5">
        <v>22.2</v>
      </c>
      <c r="S270" s="5">
        <v>36.800000000000004</v>
      </c>
      <c r="T270" s="5">
        <v>35.706000000000003</v>
      </c>
      <c r="U270" s="2">
        <v>0.4078</v>
      </c>
      <c r="V270" s="5">
        <v>78</v>
      </c>
      <c r="W270" s="5">
        <v>78</v>
      </c>
      <c r="AA270" s="2"/>
      <c r="AJ270" s="4"/>
      <c r="AR270" s="4"/>
    </row>
    <row r="271" spans="4:44">
      <c r="D271" s="5">
        <v>-21.024999999999999</v>
      </c>
      <c r="E271" s="5">
        <v>214.625</v>
      </c>
      <c r="F271" s="5">
        <v>28.256</v>
      </c>
      <c r="G271" s="2">
        <v>4.7839999999999998</v>
      </c>
      <c r="H271" s="5">
        <f t="shared" si="16"/>
        <v>95.512507812500004</v>
      </c>
      <c r="I271" s="5">
        <f t="shared" si="17"/>
        <v>90</v>
      </c>
      <c r="K271" s="5">
        <v>2.35</v>
      </c>
      <c r="L271" s="5">
        <v>114.5325</v>
      </c>
      <c r="M271" s="5">
        <v>32.57</v>
      </c>
      <c r="N271" s="5">
        <v>2.1822499999999998</v>
      </c>
      <c r="O271" s="5">
        <f t="shared" si="18"/>
        <v>780</v>
      </c>
      <c r="P271" s="5">
        <f t="shared" si="19"/>
        <v>90</v>
      </c>
      <c r="R271" s="5">
        <v>22.1</v>
      </c>
      <c r="S271" s="5">
        <v>36.827500000000001</v>
      </c>
      <c r="T271" s="5">
        <v>35.706000000000003</v>
      </c>
      <c r="U271" s="2">
        <v>0.40789999999999998</v>
      </c>
      <c r="V271" s="5">
        <v>78</v>
      </c>
      <c r="W271" s="5">
        <v>78</v>
      </c>
      <c r="AA271" s="2"/>
      <c r="AJ271" s="4"/>
      <c r="AR271" s="4"/>
    </row>
    <row r="272" spans="4:44">
      <c r="D272" s="5">
        <v>-21.25</v>
      </c>
      <c r="E272" s="5">
        <v>218.45</v>
      </c>
      <c r="F272" s="5">
        <v>28.256</v>
      </c>
      <c r="G272" s="2">
        <v>4.7489999999999997</v>
      </c>
      <c r="H272" s="5">
        <f t="shared" si="16"/>
        <v>95.73828125</v>
      </c>
      <c r="I272" s="5">
        <f t="shared" si="17"/>
        <v>90</v>
      </c>
      <c r="K272" s="5">
        <v>2.2999999999999998</v>
      </c>
      <c r="L272" s="5">
        <v>111.05499999999999</v>
      </c>
      <c r="M272" s="5">
        <v>32.57</v>
      </c>
      <c r="N272" s="5">
        <v>2.1774999999999998</v>
      </c>
      <c r="O272" s="5">
        <f t="shared" si="18"/>
        <v>780</v>
      </c>
      <c r="P272" s="5">
        <f t="shared" si="19"/>
        <v>90</v>
      </c>
      <c r="R272" s="5">
        <v>22</v>
      </c>
      <c r="S272" s="5">
        <v>36.855000000000004</v>
      </c>
      <c r="T272" s="5">
        <v>35.706000000000003</v>
      </c>
      <c r="U272" s="2">
        <v>0.40799999999999997</v>
      </c>
      <c r="V272" s="5">
        <v>78</v>
      </c>
      <c r="W272" s="5">
        <v>78</v>
      </c>
      <c r="AA272" s="2"/>
      <c r="AJ272" s="4"/>
      <c r="AR272" s="4"/>
    </row>
    <row r="273" spans="4:44">
      <c r="D273" s="5">
        <v>-21.475000000000001</v>
      </c>
      <c r="E273" s="5">
        <v>222.27499999999998</v>
      </c>
      <c r="F273" s="5">
        <v>28.256</v>
      </c>
      <c r="G273" s="2">
        <v>4.7139999999999995</v>
      </c>
      <c r="H273" s="5">
        <f t="shared" si="16"/>
        <v>95.965320312499998</v>
      </c>
      <c r="I273" s="5">
        <f t="shared" si="17"/>
        <v>90</v>
      </c>
      <c r="K273" s="5">
        <v>2.25</v>
      </c>
      <c r="L273" s="5">
        <v>107.5775</v>
      </c>
      <c r="M273" s="5">
        <v>32.57</v>
      </c>
      <c r="N273" s="5">
        <v>2.1727500000000002</v>
      </c>
      <c r="O273" s="5">
        <f t="shared" si="18"/>
        <v>780</v>
      </c>
      <c r="P273" s="5">
        <f t="shared" si="19"/>
        <v>90</v>
      </c>
      <c r="R273" s="5">
        <v>21.9</v>
      </c>
      <c r="S273" s="5">
        <v>36.8825</v>
      </c>
      <c r="T273" s="5">
        <v>35.706000000000003</v>
      </c>
      <c r="U273" s="2">
        <v>0.40810000000000002</v>
      </c>
      <c r="V273" s="5">
        <v>78</v>
      </c>
      <c r="W273" s="5">
        <v>78</v>
      </c>
      <c r="AA273" s="2"/>
      <c r="AJ273" s="4"/>
      <c r="AR273" s="4"/>
    </row>
    <row r="274" spans="4:44">
      <c r="D274" s="5">
        <v>-21.7</v>
      </c>
      <c r="E274" s="5">
        <v>226.1</v>
      </c>
      <c r="F274" s="5">
        <v>28.256</v>
      </c>
      <c r="G274" s="2">
        <v>4.6789999999999994</v>
      </c>
      <c r="H274" s="5">
        <f t="shared" si="16"/>
        <v>96.193624999999997</v>
      </c>
      <c r="I274" s="5">
        <f t="shared" si="17"/>
        <v>90</v>
      </c>
      <c r="K274" s="5">
        <v>2.2000000000000002</v>
      </c>
      <c r="L274" s="5">
        <v>104.1</v>
      </c>
      <c r="M274" s="5">
        <v>32.57</v>
      </c>
      <c r="N274" s="5">
        <v>2.1680000000000001</v>
      </c>
      <c r="O274" s="5">
        <f t="shared" si="18"/>
        <v>780</v>
      </c>
      <c r="P274" s="5">
        <f t="shared" si="19"/>
        <v>90</v>
      </c>
      <c r="R274" s="5">
        <v>21.8</v>
      </c>
      <c r="S274" s="5">
        <v>36.909999999999997</v>
      </c>
      <c r="T274" s="5">
        <v>35.706000000000003</v>
      </c>
      <c r="U274" s="2">
        <v>0.40820000000000001</v>
      </c>
      <c r="V274" s="5">
        <v>78</v>
      </c>
      <c r="W274" s="5">
        <v>78</v>
      </c>
      <c r="AA274" s="2"/>
      <c r="AJ274" s="4"/>
      <c r="AR274" s="4"/>
    </row>
    <row r="275" spans="4:44">
      <c r="D275" s="5">
        <v>-21.9</v>
      </c>
      <c r="E275" s="5">
        <v>217.625</v>
      </c>
      <c r="F275" s="5">
        <v>28.256</v>
      </c>
      <c r="G275" s="2">
        <v>4.7294999999999998</v>
      </c>
      <c r="H275" s="5">
        <f t="shared" si="16"/>
        <v>96.397625000000005</v>
      </c>
      <c r="I275" s="5">
        <f t="shared" si="17"/>
        <v>90</v>
      </c>
      <c r="K275" s="5">
        <v>2.125</v>
      </c>
      <c r="L275" s="5">
        <v>103.74499999999999</v>
      </c>
      <c r="M275" s="5">
        <v>32.57</v>
      </c>
      <c r="N275" s="5">
        <v>2.19625</v>
      </c>
      <c r="O275" s="5">
        <f t="shared" si="18"/>
        <v>780</v>
      </c>
      <c r="P275" s="5">
        <f t="shared" si="19"/>
        <v>90</v>
      </c>
      <c r="R275" s="5">
        <v>21.774999999999999</v>
      </c>
      <c r="S275" s="5">
        <v>36.815000000000005</v>
      </c>
      <c r="T275" s="5">
        <v>35.706000000000003</v>
      </c>
      <c r="U275" s="2">
        <v>0.408225</v>
      </c>
      <c r="V275" s="5">
        <v>78</v>
      </c>
      <c r="W275" s="5">
        <v>78</v>
      </c>
      <c r="AA275" s="2"/>
      <c r="AJ275" s="4"/>
      <c r="AR275" s="4"/>
    </row>
    <row r="276" spans="4:44">
      <c r="D276" s="5">
        <v>-22.1</v>
      </c>
      <c r="E276" s="5">
        <v>209.14999999999998</v>
      </c>
      <c r="F276" s="5">
        <v>28.256</v>
      </c>
      <c r="G276" s="2">
        <v>4.7799999999999994</v>
      </c>
      <c r="H276" s="5">
        <f t="shared" si="16"/>
        <v>96.602625000000003</v>
      </c>
      <c r="I276" s="5">
        <f t="shared" si="17"/>
        <v>90</v>
      </c>
      <c r="K276" s="5">
        <v>2.0499999999999998</v>
      </c>
      <c r="L276" s="5">
        <v>103.39</v>
      </c>
      <c r="M276" s="5">
        <v>32.57</v>
      </c>
      <c r="N276" s="5">
        <v>2.2244999999999999</v>
      </c>
      <c r="O276" s="5">
        <f t="shared" si="18"/>
        <v>780</v>
      </c>
      <c r="P276" s="5">
        <f t="shared" si="19"/>
        <v>90</v>
      </c>
      <c r="R276" s="5">
        <v>21.75</v>
      </c>
      <c r="S276" s="5">
        <v>36.72</v>
      </c>
      <c r="T276" s="5">
        <v>35.706000000000003</v>
      </c>
      <c r="U276" s="2">
        <v>0.40825</v>
      </c>
      <c r="V276" s="5">
        <v>78</v>
      </c>
      <c r="W276" s="5">
        <v>78</v>
      </c>
      <c r="AA276" s="2"/>
      <c r="AJ276" s="4"/>
      <c r="AR276" s="4"/>
    </row>
    <row r="277" spans="4:44">
      <c r="D277" s="5">
        <v>-22.3</v>
      </c>
      <c r="E277" s="5">
        <v>200.67499999999998</v>
      </c>
      <c r="F277" s="5">
        <v>28.256</v>
      </c>
      <c r="G277" s="2">
        <v>4.8304999999999989</v>
      </c>
      <c r="H277" s="5">
        <f t="shared" si="16"/>
        <v>96.808625000000006</v>
      </c>
      <c r="I277" s="5">
        <f t="shared" si="17"/>
        <v>90</v>
      </c>
      <c r="K277" s="5">
        <v>1.9750000000000001</v>
      </c>
      <c r="L277" s="5">
        <v>103.035</v>
      </c>
      <c r="M277" s="5">
        <v>32.57</v>
      </c>
      <c r="N277" s="5">
        <v>2.2527499999999998</v>
      </c>
      <c r="O277" s="5">
        <f t="shared" si="18"/>
        <v>780</v>
      </c>
      <c r="P277" s="5">
        <f t="shared" si="19"/>
        <v>90</v>
      </c>
      <c r="R277" s="5">
        <v>21.725000000000001</v>
      </c>
      <c r="S277" s="5">
        <v>36.625</v>
      </c>
      <c r="T277" s="5">
        <v>35.706000000000003</v>
      </c>
      <c r="U277" s="2">
        <v>0.408275</v>
      </c>
      <c r="V277" s="5">
        <v>78</v>
      </c>
      <c r="W277" s="5">
        <v>78</v>
      </c>
      <c r="AA277" s="2"/>
      <c r="AJ277" s="4"/>
      <c r="AR277" s="4"/>
    </row>
    <row r="278" spans="4:44">
      <c r="D278" s="5">
        <v>-22.5</v>
      </c>
      <c r="E278" s="5">
        <v>192.2</v>
      </c>
      <c r="F278" s="5">
        <v>28.256</v>
      </c>
      <c r="G278" s="2">
        <v>4.8809999999999993</v>
      </c>
      <c r="H278" s="5">
        <f t="shared" si="16"/>
        <v>97.015625</v>
      </c>
      <c r="I278" s="5">
        <f t="shared" si="17"/>
        <v>90</v>
      </c>
      <c r="K278" s="5">
        <v>1.9</v>
      </c>
      <c r="L278" s="5">
        <v>102.68</v>
      </c>
      <c r="M278" s="5">
        <v>32.57</v>
      </c>
      <c r="N278" s="5">
        <v>2.2810000000000001</v>
      </c>
      <c r="O278" s="5">
        <f t="shared" si="18"/>
        <v>780</v>
      </c>
      <c r="P278" s="5">
        <f t="shared" si="19"/>
        <v>90</v>
      </c>
      <c r="R278" s="5">
        <v>21.7</v>
      </c>
      <c r="S278" s="5">
        <v>36.53</v>
      </c>
      <c r="T278" s="5">
        <v>35.706000000000003</v>
      </c>
      <c r="U278" s="2">
        <v>0.4083</v>
      </c>
      <c r="V278" s="5">
        <v>78</v>
      </c>
      <c r="W278" s="5">
        <v>78</v>
      </c>
      <c r="AA278" s="2"/>
      <c r="AJ278" s="4"/>
      <c r="AR278" s="4"/>
    </row>
    <row r="279" spans="4:44">
      <c r="D279" s="5">
        <v>-22.625</v>
      </c>
      <c r="E279" s="5">
        <v>206.14750000000001</v>
      </c>
      <c r="F279" s="5">
        <v>28.256</v>
      </c>
      <c r="G279" s="2">
        <v>4.8484999999999996</v>
      </c>
      <c r="H279" s="5">
        <f t="shared" si="16"/>
        <v>97.1455078125</v>
      </c>
      <c r="I279" s="5">
        <f t="shared" si="17"/>
        <v>90</v>
      </c>
      <c r="K279" s="5">
        <v>1.825</v>
      </c>
      <c r="L279" s="5">
        <v>101.8075</v>
      </c>
      <c r="M279" s="5">
        <v>32.57</v>
      </c>
      <c r="N279" s="5">
        <v>2.2814999999999999</v>
      </c>
      <c r="O279" s="5">
        <f t="shared" si="18"/>
        <v>780</v>
      </c>
      <c r="P279" s="5">
        <f t="shared" si="19"/>
        <v>90</v>
      </c>
      <c r="R279" s="5">
        <v>21.65</v>
      </c>
      <c r="S279" s="5">
        <v>36.232500000000002</v>
      </c>
      <c r="T279" s="5">
        <v>35.706000000000003</v>
      </c>
      <c r="U279" s="2">
        <v>0.40834999999999999</v>
      </c>
      <c r="V279" s="5">
        <v>78</v>
      </c>
      <c r="W279" s="5">
        <v>78</v>
      </c>
      <c r="AA279" s="2"/>
      <c r="AJ279" s="4"/>
      <c r="AR279" s="4"/>
    </row>
    <row r="280" spans="4:44">
      <c r="D280" s="5">
        <v>-22.75</v>
      </c>
      <c r="E280" s="5">
        <v>220.095</v>
      </c>
      <c r="F280" s="5">
        <v>28.256</v>
      </c>
      <c r="G280" s="2">
        <v>4.8159999999999989</v>
      </c>
      <c r="H280" s="5">
        <f t="shared" si="16"/>
        <v>97.275781249999994</v>
      </c>
      <c r="I280" s="5">
        <f t="shared" si="17"/>
        <v>90</v>
      </c>
      <c r="K280" s="5">
        <v>1.75</v>
      </c>
      <c r="L280" s="5">
        <v>100.935</v>
      </c>
      <c r="M280" s="5">
        <v>32.57</v>
      </c>
      <c r="N280" s="5">
        <v>2.282</v>
      </c>
      <c r="O280" s="5">
        <f t="shared" si="18"/>
        <v>780</v>
      </c>
      <c r="P280" s="5">
        <f t="shared" si="19"/>
        <v>90</v>
      </c>
      <c r="R280" s="5">
        <v>21.6</v>
      </c>
      <c r="S280" s="5">
        <v>35.935000000000002</v>
      </c>
      <c r="T280" s="5">
        <v>35.706000000000003</v>
      </c>
      <c r="U280" s="2">
        <v>0.40839999999999999</v>
      </c>
      <c r="V280" s="5">
        <v>78</v>
      </c>
      <c r="W280" s="5">
        <v>78</v>
      </c>
      <c r="AA280" s="2"/>
      <c r="AJ280" s="4"/>
      <c r="AR280" s="4"/>
    </row>
    <row r="281" spans="4:44">
      <c r="D281" s="5">
        <v>-22.875</v>
      </c>
      <c r="E281" s="5">
        <v>234.04250000000002</v>
      </c>
      <c r="F281" s="5">
        <v>28.256</v>
      </c>
      <c r="G281" s="2">
        <v>4.7834999999999992</v>
      </c>
      <c r="H281" s="5">
        <f t="shared" si="16"/>
        <v>97.406445312499997</v>
      </c>
      <c r="I281" s="5">
        <f t="shared" si="17"/>
        <v>90</v>
      </c>
      <c r="K281" s="5">
        <v>1.675</v>
      </c>
      <c r="L281" s="5">
        <v>100.0625</v>
      </c>
      <c r="M281" s="5">
        <v>32.57</v>
      </c>
      <c r="N281" s="5">
        <v>2.2825000000000002</v>
      </c>
      <c r="O281" s="5">
        <f t="shared" si="18"/>
        <v>780</v>
      </c>
      <c r="P281" s="5">
        <f t="shared" si="19"/>
        <v>90</v>
      </c>
      <c r="R281" s="5">
        <v>21.55</v>
      </c>
      <c r="S281" s="5">
        <v>35.637500000000003</v>
      </c>
      <c r="T281" s="5">
        <v>35.706000000000003</v>
      </c>
      <c r="U281" s="2">
        <v>0.40844999999999998</v>
      </c>
      <c r="V281" s="5">
        <v>78</v>
      </c>
      <c r="W281" s="5">
        <v>78</v>
      </c>
      <c r="AA281" s="2"/>
      <c r="AJ281" s="4"/>
      <c r="AR281" s="4"/>
    </row>
    <row r="282" spans="4:44">
      <c r="D282" s="5">
        <v>-23</v>
      </c>
      <c r="E282" s="5">
        <v>247.99</v>
      </c>
      <c r="F282" s="5">
        <v>28.256</v>
      </c>
      <c r="G282" s="2">
        <v>4.7509999999999994</v>
      </c>
      <c r="H282" s="5">
        <f t="shared" si="16"/>
        <v>97.537499999999994</v>
      </c>
      <c r="I282" s="5">
        <f t="shared" si="17"/>
        <v>90</v>
      </c>
      <c r="K282" s="5">
        <v>1.6</v>
      </c>
      <c r="L282" s="5">
        <v>99.19</v>
      </c>
      <c r="M282" s="5">
        <v>32.57</v>
      </c>
      <c r="N282" s="5">
        <v>2.2829999999999999</v>
      </c>
      <c r="O282" s="5">
        <f t="shared" si="18"/>
        <v>780</v>
      </c>
      <c r="P282" s="5">
        <f t="shared" si="19"/>
        <v>90</v>
      </c>
      <c r="R282" s="5">
        <v>21.5</v>
      </c>
      <c r="S282" s="5">
        <v>35.339999999999996</v>
      </c>
      <c r="T282" s="5">
        <v>35.706000000000003</v>
      </c>
      <c r="U282" s="2">
        <v>0.40849999999999997</v>
      </c>
      <c r="V282" s="5">
        <v>78</v>
      </c>
      <c r="W282" s="5">
        <v>78</v>
      </c>
      <c r="AA282" s="2"/>
      <c r="AJ282" s="4"/>
      <c r="AR282" s="4"/>
    </row>
    <row r="283" spans="4:44">
      <c r="D283" s="5">
        <v>-23.074999999999999</v>
      </c>
      <c r="E283" s="5">
        <v>240.5025</v>
      </c>
      <c r="F283" s="5">
        <v>28.256</v>
      </c>
      <c r="G283" s="2">
        <v>4.7582499999999994</v>
      </c>
      <c r="H283" s="5">
        <f t="shared" si="16"/>
        <v>97.616320312499994</v>
      </c>
      <c r="I283" s="5">
        <f t="shared" si="17"/>
        <v>90</v>
      </c>
      <c r="K283" s="5">
        <v>1.575</v>
      </c>
      <c r="L283" s="5">
        <v>98.877499999999998</v>
      </c>
      <c r="M283" s="5">
        <v>32.57</v>
      </c>
      <c r="N283" s="5">
        <v>2.2675000000000001</v>
      </c>
      <c r="O283" s="5">
        <f t="shared" si="18"/>
        <v>780</v>
      </c>
      <c r="P283" s="5">
        <f t="shared" si="19"/>
        <v>90</v>
      </c>
      <c r="R283" s="5">
        <v>21.024999999999999</v>
      </c>
      <c r="S283" s="5">
        <v>35.137500000000003</v>
      </c>
      <c r="T283" s="5">
        <v>35.706000000000003</v>
      </c>
      <c r="U283" s="2">
        <v>0.40897499999999998</v>
      </c>
      <c r="V283" s="5">
        <v>78</v>
      </c>
      <c r="W283" s="5">
        <v>78</v>
      </c>
      <c r="AA283" s="2"/>
      <c r="AJ283" s="4"/>
      <c r="AR283" s="4"/>
    </row>
    <row r="284" spans="4:44">
      <c r="D284" s="5">
        <v>-23.15</v>
      </c>
      <c r="E284" s="5">
        <v>233.01500000000001</v>
      </c>
      <c r="F284" s="5">
        <v>28.256</v>
      </c>
      <c r="G284" s="2">
        <v>4.7654999999999994</v>
      </c>
      <c r="H284" s="5">
        <f t="shared" si="16"/>
        <v>97.695281249999994</v>
      </c>
      <c r="I284" s="5">
        <f t="shared" si="17"/>
        <v>90</v>
      </c>
      <c r="K284" s="5">
        <v>1.55</v>
      </c>
      <c r="L284" s="5">
        <v>98.564999999999998</v>
      </c>
      <c r="M284" s="5">
        <v>32.57</v>
      </c>
      <c r="N284" s="5">
        <v>2.2519999999999998</v>
      </c>
      <c r="O284" s="5">
        <f t="shared" si="18"/>
        <v>780</v>
      </c>
      <c r="P284" s="5">
        <f t="shared" si="19"/>
        <v>90</v>
      </c>
      <c r="R284" s="5">
        <v>20.55</v>
      </c>
      <c r="S284" s="5">
        <v>34.935000000000002</v>
      </c>
      <c r="T284" s="5">
        <v>35.706000000000003</v>
      </c>
      <c r="U284" s="2">
        <v>0.40944999999999998</v>
      </c>
      <c r="V284" s="5">
        <v>78</v>
      </c>
      <c r="W284" s="5">
        <v>78</v>
      </c>
      <c r="AA284" s="2"/>
      <c r="AJ284" s="4"/>
      <c r="AR284" s="4"/>
    </row>
    <row r="285" spans="4:44">
      <c r="D285" s="5">
        <v>-23.225000000000001</v>
      </c>
      <c r="E285" s="5">
        <v>225.5275</v>
      </c>
      <c r="F285" s="5">
        <v>28.256</v>
      </c>
      <c r="G285" s="2">
        <v>4.7727499999999994</v>
      </c>
      <c r="H285" s="5">
        <f t="shared" si="16"/>
        <v>97.774382812499994</v>
      </c>
      <c r="I285" s="5">
        <f t="shared" si="17"/>
        <v>90</v>
      </c>
      <c r="K285" s="5">
        <v>1.5249999999999999</v>
      </c>
      <c r="L285" s="5">
        <v>98.252499999999998</v>
      </c>
      <c r="M285" s="5">
        <v>32.57</v>
      </c>
      <c r="N285" s="5">
        <v>2.2364999999999999</v>
      </c>
      <c r="O285" s="5">
        <f t="shared" si="18"/>
        <v>780</v>
      </c>
      <c r="P285" s="5">
        <f t="shared" si="19"/>
        <v>90</v>
      </c>
      <c r="R285" s="5">
        <v>20.074999999999999</v>
      </c>
      <c r="S285" s="5">
        <v>34.732500000000002</v>
      </c>
      <c r="T285" s="5">
        <v>35.706000000000003</v>
      </c>
      <c r="U285" s="2">
        <v>0.40992499999999998</v>
      </c>
      <c r="V285" s="5">
        <v>78</v>
      </c>
      <c r="W285" s="5">
        <v>78</v>
      </c>
      <c r="AA285" s="2"/>
      <c r="AJ285" s="4"/>
      <c r="AR285" s="4"/>
    </row>
    <row r="286" spans="4:44">
      <c r="D286" s="5">
        <v>-23.3</v>
      </c>
      <c r="E286" s="5">
        <v>218.04</v>
      </c>
      <c r="F286" s="5">
        <v>28.256</v>
      </c>
      <c r="G286" s="2">
        <v>4.7799999999999994</v>
      </c>
      <c r="H286" s="5">
        <f t="shared" si="16"/>
        <v>97.853624999999994</v>
      </c>
      <c r="I286" s="5">
        <f t="shared" si="17"/>
        <v>90</v>
      </c>
      <c r="K286" s="5">
        <v>1.5</v>
      </c>
      <c r="L286" s="5">
        <v>97.94</v>
      </c>
      <c r="M286" s="5">
        <v>32.57</v>
      </c>
      <c r="N286" s="5">
        <v>2.2210000000000001</v>
      </c>
      <c r="O286" s="5">
        <f t="shared" si="18"/>
        <v>780</v>
      </c>
      <c r="P286" s="5">
        <f t="shared" si="19"/>
        <v>90</v>
      </c>
      <c r="R286" s="5">
        <v>19.600000000000001</v>
      </c>
      <c r="S286" s="5">
        <v>34.53</v>
      </c>
      <c r="T286" s="5">
        <v>35.706000000000003</v>
      </c>
      <c r="U286" s="2">
        <v>0.41039999999999999</v>
      </c>
      <c r="V286" s="5">
        <v>78</v>
      </c>
      <c r="W286" s="5">
        <v>78</v>
      </c>
      <c r="AA286" s="2"/>
      <c r="AJ286" s="4"/>
      <c r="AR286" s="4"/>
    </row>
    <row r="287" spans="4:44">
      <c r="D287" s="5">
        <v>-23.4</v>
      </c>
      <c r="E287" s="5">
        <v>214.11249999999998</v>
      </c>
      <c r="F287" s="5">
        <v>28.256</v>
      </c>
      <c r="G287" s="2">
        <v>4.7814999999999994</v>
      </c>
      <c r="H287" s="5">
        <f t="shared" si="16"/>
        <v>97.959499999999991</v>
      </c>
      <c r="I287" s="5">
        <f t="shared" si="17"/>
        <v>90</v>
      </c>
      <c r="K287" s="5">
        <v>1.4750000000000001</v>
      </c>
      <c r="L287" s="5">
        <v>96.012500000000003</v>
      </c>
      <c r="M287" s="5">
        <v>32.57</v>
      </c>
      <c r="N287" s="5">
        <v>2.1927499999999998</v>
      </c>
      <c r="O287" s="5">
        <f t="shared" si="18"/>
        <v>780</v>
      </c>
      <c r="P287" s="5">
        <f t="shared" si="19"/>
        <v>90</v>
      </c>
      <c r="R287" s="5">
        <v>19.55</v>
      </c>
      <c r="S287" s="5">
        <v>34.107500000000002</v>
      </c>
      <c r="T287" s="5">
        <v>35.706000000000003</v>
      </c>
      <c r="U287" s="2">
        <v>0.41044999999999998</v>
      </c>
      <c r="V287" s="5">
        <v>78</v>
      </c>
      <c r="W287" s="5">
        <v>78</v>
      </c>
      <c r="AA287" s="2"/>
      <c r="AJ287" s="4"/>
      <c r="AR287" s="4"/>
    </row>
    <row r="288" spans="4:44">
      <c r="D288" s="5">
        <v>-23.5</v>
      </c>
      <c r="E288" s="5">
        <v>210.185</v>
      </c>
      <c r="F288" s="5">
        <v>28.256</v>
      </c>
      <c r="G288" s="2">
        <v>4.7829999999999995</v>
      </c>
      <c r="H288" s="5">
        <f t="shared" si="16"/>
        <v>98.065624999999997</v>
      </c>
      <c r="I288" s="5">
        <f t="shared" si="17"/>
        <v>90</v>
      </c>
      <c r="K288" s="5">
        <v>1.45</v>
      </c>
      <c r="L288" s="5">
        <v>94.085000000000008</v>
      </c>
      <c r="M288" s="5">
        <v>32.57</v>
      </c>
      <c r="N288" s="5">
        <v>2.1644999999999999</v>
      </c>
      <c r="O288" s="5">
        <f t="shared" si="18"/>
        <v>780</v>
      </c>
      <c r="P288" s="5">
        <f t="shared" si="19"/>
        <v>90</v>
      </c>
      <c r="R288" s="5">
        <v>19.5</v>
      </c>
      <c r="S288" s="5">
        <v>33.685000000000002</v>
      </c>
      <c r="T288" s="5">
        <v>35.706000000000003</v>
      </c>
      <c r="U288" s="2">
        <v>0.41049999999999998</v>
      </c>
      <c r="V288" s="5">
        <v>78</v>
      </c>
      <c r="W288" s="5">
        <v>78</v>
      </c>
      <c r="AA288" s="2"/>
      <c r="AJ288" s="4"/>
      <c r="AR288" s="4"/>
    </row>
    <row r="289" spans="4:44">
      <c r="D289" s="5">
        <v>-23.6</v>
      </c>
      <c r="E289" s="5">
        <v>206.25749999999999</v>
      </c>
      <c r="F289" s="5">
        <v>28.256</v>
      </c>
      <c r="G289" s="2">
        <v>4.7844999999999995</v>
      </c>
      <c r="H289" s="5">
        <f t="shared" si="16"/>
        <v>98.171999999999997</v>
      </c>
      <c r="I289" s="5">
        <f t="shared" si="17"/>
        <v>90</v>
      </c>
      <c r="K289" s="5">
        <v>1.425</v>
      </c>
      <c r="L289" s="5">
        <v>92.157499999999999</v>
      </c>
      <c r="M289" s="5">
        <v>32.57</v>
      </c>
      <c r="N289" s="5">
        <v>2.13625</v>
      </c>
      <c r="O289" s="5">
        <f t="shared" si="18"/>
        <v>780</v>
      </c>
      <c r="P289" s="5">
        <f t="shared" si="19"/>
        <v>90</v>
      </c>
      <c r="R289" s="5">
        <v>19.45</v>
      </c>
      <c r="S289" s="5">
        <v>33.262500000000003</v>
      </c>
      <c r="T289" s="5">
        <v>35.706000000000003</v>
      </c>
      <c r="U289" s="2">
        <v>0.41054999999999997</v>
      </c>
      <c r="V289" s="5">
        <v>78</v>
      </c>
      <c r="W289" s="5">
        <v>78</v>
      </c>
      <c r="AA289" s="2"/>
      <c r="AJ289" s="4"/>
      <c r="AR289" s="4"/>
    </row>
    <row r="290" spans="4:44">
      <c r="D290" s="5">
        <v>-23.7</v>
      </c>
      <c r="E290" s="5">
        <v>202.33</v>
      </c>
      <c r="F290" s="5">
        <f t="shared" ref="F290:F321" si="20">$F$289-($F$289-$F$482)/3</f>
        <v>28.170333333333332</v>
      </c>
      <c r="G290" s="2">
        <v>4.7859999999999996</v>
      </c>
      <c r="H290" s="5">
        <f t="shared" si="16"/>
        <v>98.278625000000005</v>
      </c>
      <c r="I290" s="5">
        <f t="shared" si="17"/>
        <v>90</v>
      </c>
      <c r="K290" s="5">
        <v>1.4</v>
      </c>
      <c r="L290" s="5">
        <v>90.22999999999999</v>
      </c>
      <c r="M290" s="5">
        <v>32.308999999999997</v>
      </c>
      <c r="N290" s="5">
        <v>2.1080000000000001</v>
      </c>
      <c r="O290" s="5">
        <f t="shared" si="18"/>
        <v>780</v>
      </c>
      <c r="P290" s="5">
        <f t="shared" si="19"/>
        <v>90</v>
      </c>
      <c r="R290" s="5">
        <v>19.399999999999999</v>
      </c>
      <c r="S290" s="5">
        <v>32.839999999999996</v>
      </c>
      <c r="T290" s="5">
        <v>35.595333333333336</v>
      </c>
      <c r="U290" s="2">
        <v>0.41060000000000002</v>
      </c>
      <c r="V290" s="5">
        <v>78</v>
      </c>
      <c r="W290" s="5">
        <v>78</v>
      </c>
      <c r="AA290" s="2"/>
      <c r="AJ290" s="4"/>
      <c r="AR290" s="4"/>
    </row>
    <row r="291" spans="4:44">
      <c r="D291" s="5">
        <v>-23.774999999999999</v>
      </c>
      <c r="E291" s="5">
        <v>207.54750000000001</v>
      </c>
      <c r="F291" s="5">
        <f t="shared" si="20"/>
        <v>28.170333333333332</v>
      </c>
      <c r="G291" s="2">
        <v>4.76525</v>
      </c>
      <c r="H291" s="5">
        <f t="shared" si="16"/>
        <v>98.358757812499988</v>
      </c>
      <c r="I291" s="5">
        <f t="shared" si="17"/>
        <v>90</v>
      </c>
      <c r="K291" s="5">
        <v>1.35</v>
      </c>
      <c r="L291" s="5">
        <v>91.657499999999999</v>
      </c>
      <c r="M291" s="5">
        <v>32.308999999999997</v>
      </c>
      <c r="N291" s="5">
        <v>2.1067499999999999</v>
      </c>
      <c r="O291" s="5">
        <f t="shared" si="18"/>
        <v>780</v>
      </c>
      <c r="P291" s="5">
        <f t="shared" si="19"/>
        <v>90</v>
      </c>
      <c r="R291" s="5">
        <v>18.925000000000001</v>
      </c>
      <c r="S291" s="5">
        <v>31.057500000000001</v>
      </c>
      <c r="T291" s="5">
        <v>35.595333333333336</v>
      </c>
      <c r="U291" s="2">
        <v>0.41107499999999997</v>
      </c>
      <c r="V291" s="5">
        <v>78</v>
      </c>
      <c r="W291" s="5">
        <v>78</v>
      </c>
      <c r="AA291" s="2"/>
      <c r="AJ291" s="4"/>
      <c r="AR291" s="4"/>
    </row>
    <row r="292" spans="4:44">
      <c r="D292" s="5">
        <v>-23.85</v>
      </c>
      <c r="E292" s="5">
        <v>212.76499999999999</v>
      </c>
      <c r="F292" s="5">
        <f t="shared" si="20"/>
        <v>28.170333333333332</v>
      </c>
      <c r="G292" s="2">
        <v>4.7444999999999995</v>
      </c>
      <c r="H292" s="5">
        <f t="shared" si="16"/>
        <v>98.439031249999999</v>
      </c>
      <c r="I292" s="5">
        <f t="shared" si="17"/>
        <v>90</v>
      </c>
      <c r="K292" s="5">
        <v>1.3</v>
      </c>
      <c r="L292" s="5">
        <v>93.08499999999998</v>
      </c>
      <c r="M292" s="5">
        <v>32.308999999999997</v>
      </c>
      <c r="N292" s="5">
        <v>2.1054999999999997</v>
      </c>
      <c r="O292" s="5">
        <f t="shared" si="18"/>
        <v>780</v>
      </c>
      <c r="P292" s="5">
        <f t="shared" si="19"/>
        <v>90</v>
      </c>
      <c r="R292" s="5">
        <v>18.45</v>
      </c>
      <c r="S292" s="5">
        <v>29.275000000000002</v>
      </c>
      <c r="T292" s="5">
        <v>35.595333333333336</v>
      </c>
      <c r="U292" s="2">
        <v>0.41154999999999997</v>
      </c>
      <c r="V292" s="5">
        <v>78</v>
      </c>
      <c r="W292" s="5">
        <v>78</v>
      </c>
      <c r="AA292" s="2"/>
      <c r="AJ292" s="4"/>
      <c r="AR292" s="4"/>
    </row>
    <row r="293" spans="4:44">
      <c r="D293" s="5">
        <v>-23.925000000000001</v>
      </c>
      <c r="E293" s="5">
        <v>217.98249999999999</v>
      </c>
      <c r="F293" s="5">
        <f t="shared" si="20"/>
        <v>28.170333333333332</v>
      </c>
      <c r="G293" s="2">
        <v>4.723749999999999</v>
      </c>
      <c r="H293" s="5">
        <f t="shared" si="16"/>
        <v>98.519445312499997</v>
      </c>
      <c r="I293" s="5">
        <f t="shared" si="17"/>
        <v>90</v>
      </c>
      <c r="K293" s="5">
        <v>1.25</v>
      </c>
      <c r="L293" s="5">
        <v>94.512500000000003</v>
      </c>
      <c r="M293" s="5">
        <v>32.308999999999997</v>
      </c>
      <c r="N293" s="5">
        <v>2.10425</v>
      </c>
      <c r="O293" s="5">
        <f t="shared" si="18"/>
        <v>780</v>
      </c>
      <c r="P293" s="5">
        <f t="shared" si="19"/>
        <v>90</v>
      </c>
      <c r="R293" s="5">
        <v>17.975000000000001</v>
      </c>
      <c r="S293" s="5">
        <v>27.4925</v>
      </c>
      <c r="T293" s="5">
        <v>35.595333333333336</v>
      </c>
      <c r="U293" s="2">
        <v>0.41202499999999997</v>
      </c>
      <c r="V293" s="5">
        <v>78</v>
      </c>
      <c r="W293" s="5">
        <v>78</v>
      </c>
      <c r="AA293" s="2"/>
      <c r="AJ293" s="4"/>
      <c r="AR293" s="4"/>
    </row>
    <row r="294" spans="4:44">
      <c r="D294" s="5">
        <v>-24</v>
      </c>
      <c r="E294" s="5">
        <v>223.2</v>
      </c>
      <c r="F294" s="5">
        <f t="shared" si="20"/>
        <v>28.170333333333332</v>
      </c>
      <c r="G294" s="2">
        <v>4.7029999999999994</v>
      </c>
      <c r="H294" s="5">
        <f t="shared" si="16"/>
        <v>98.6</v>
      </c>
      <c r="I294" s="5">
        <f t="shared" si="17"/>
        <v>90</v>
      </c>
      <c r="K294" s="5">
        <v>1.2</v>
      </c>
      <c r="L294" s="5">
        <v>95.94</v>
      </c>
      <c r="M294" s="5">
        <v>32.308999999999997</v>
      </c>
      <c r="N294" s="5">
        <v>2.1029999999999998</v>
      </c>
      <c r="O294" s="5">
        <f t="shared" si="18"/>
        <v>780</v>
      </c>
      <c r="P294" s="5">
        <f t="shared" si="19"/>
        <v>90</v>
      </c>
      <c r="R294" s="5">
        <v>17.5</v>
      </c>
      <c r="S294" s="5">
        <v>25.71</v>
      </c>
      <c r="T294" s="5">
        <v>35.595333333333336</v>
      </c>
      <c r="U294" s="2">
        <v>0.41249999999999998</v>
      </c>
      <c r="V294" s="5">
        <v>78</v>
      </c>
      <c r="W294" s="5">
        <v>78</v>
      </c>
      <c r="AA294" s="2"/>
      <c r="AJ294" s="4"/>
      <c r="AR294" s="4"/>
    </row>
    <row r="295" spans="4:44">
      <c r="D295" s="5">
        <v>-24.074999999999999</v>
      </c>
      <c r="E295" s="5">
        <v>206.78750000000002</v>
      </c>
      <c r="F295" s="5">
        <f t="shared" si="20"/>
        <v>28.170333333333332</v>
      </c>
      <c r="G295" s="2">
        <v>4.7087499999999993</v>
      </c>
      <c r="H295" s="5">
        <f t="shared" si="16"/>
        <v>98.680695312500006</v>
      </c>
      <c r="I295" s="5">
        <f t="shared" si="17"/>
        <v>90</v>
      </c>
      <c r="K295" s="5">
        <v>1.175</v>
      </c>
      <c r="L295" s="5">
        <v>94.852500000000006</v>
      </c>
      <c r="M295" s="5">
        <v>32.308999999999997</v>
      </c>
      <c r="N295" s="5">
        <v>2.125</v>
      </c>
      <c r="O295" s="5">
        <f t="shared" si="18"/>
        <v>780</v>
      </c>
      <c r="P295" s="5">
        <f t="shared" si="19"/>
        <v>90</v>
      </c>
      <c r="R295" s="5">
        <v>17.25</v>
      </c>
      <c r="S295" s="5">
        <v>23.414999999999999</v>
      </c>
      <c r="T295" s="5">
        <v>35.595333333333336</v>
      </c>
      <c r="U295" s="2">
        <v>0.41275000000000001</v>
      </c>
      <c r="V295" s="5">
        <v>78</v>
      </c>
      <c r="W295" s="5">
        <v>78</v>
      </c>
      <c r="AA295" s="2"/>
      <c r="AJ295" s="4"/>
      <c r="AR295" s="4"/>
    </row>
    <row r="296" spans="4:44">
      <c r="D296" s="5">
        <v>-24.15</v>
      </c>
      <c r="E296" s="5">
        <v>190.375</v>
      </c>
      <c r="F296" s="5">
        <f t="shared" si="20"/>
        <v>28.170333333333332</v>
      </c>
      <c r="G296" s="2">
        <v>4.7144999999999992</v>
      </c>
      <c r="H296" s="5">
        <f t="shared" si="16"/>
        <v>98.76153124999999</v>
      </c>
      <c r="I296" s="5">
        <f t="shared" si="17"/>
        <v>90</v>
      </c>
      <c r="K296" s="5">
        <v>1.1499999999999999</v>
      </c>
      <c r="L296" s="5">
        <v>93.765000000000001</v>
      </c>
      <c r="M296" s="5">
        <v>32.308999999999997</v>
      </c>
      <c r="N296" s="5">
        <v>2.1469999999999998</v>
      </c>
      <c r="O296" s="5">
        <f t="shared" si="18"/>
        <v>780</v>
      </c>
      <c r="P296" s="5">
        <f t="shared" si="19"/>
        <v>90</v>
      </c>
      <c r="R296" s="5">
        <v>17</v>
      </c>
      <c r="S296" s="5">
        <v>21.12</v>
      </c>
      <c r="T296" s="5">
        <v>35.595333333333336</v>
      </c>
      <c r="U296" s="2">
        <v>0.41299999999999998</v>
      </c>
      <c r="V296" s="5">
        <v>78</v>
      </c>
      <c r="W296" s="5">
        <v>78</v>
      </c>
      <c r="AA296" s="2"/>
      <c r="AJ296" s="4"/>
      <c r="AR296" s="4"/>
    </row>
    <row r="297" spans="4:44">
      <c r="D297" s="5">
        <v>-24.225000000000001</v>
      </c>
      <c r="E297" s="5">
        <v>173.96249999999998</v>
      </c>
      <c r="F297" s="5">
        <f t="shared" si="20"/>
        <v>28.170333333333332</v>
      </c>
      <c r="G297" s="2">
        <v>4.7202500000000001</v>
      </c>
      <c r="H297" s="5">
        <f t="shared" si="16"/>
        <v>98.842507812500003</v>
      </c>
      <c r="I297" s="5">
        <f t="shared" si="17"/>
        <v>90</v>
      </c>
      <c r="K297" s="5">
        <v>1.125</v>
      </c>
      <c r="L297" s="5">
        <v>92.677499999999995</v>
      </c>
      <c r="M297" s="5">
        <v>32.308999999999997</v>
      </c>
      <c r="N297" s="5">
        <v>2.169</v>
      </c>
      <c r="O297" s="5">
        <f t="shared" si="18"/>
        <v>780</v>
      </c>
      <c r="P297" s="5">
        <f t="shared" si="19"/>
        <v>90</v>
      </c>
      <c r="R297" s="5">
        <v>16.75</v>
      </c>
      <c r="S297" s="5">
        <v>18.824999999999999</v>
      </c>
      <c r="T297" s="5">
        <v>35.595333333333336</v>
      </c>
      <c r="U297" s="2">
        <v>0.41325000000000001</v>
      </c>
      <c r="V297" s="5">
        <v>78</v>
      </c>
      <c r="W297" s="5">
        <v>78</v>
      </c>
      <c r="AA297" s="2"/>
      <c r="AJ297" s="4"/>
      <c r="AR297" s="4"/>
    </row>
    <row r="298" spans="4:44">
      <c r="D298" s="5">
        <v>-24.3</v>
      </c>
      <c r="E298" s="5">
        <v>157.55000000000001</v>
      </c>
      <c r="F298" s="5">
        <f t="shared" si="20"/>
        <v>28.170333333333332</v>
      </c>
      <c r="G298" s="2">
        <v>4.726</v>
      </c>
      <c r="H298" s="5">
        <f t="shared" si="16"/>
        <v>98.923625000000001</v>
      </c>
      <c r="I298" s="5">
        <f t="shared" si="17"/>
        <v>90</v>
      </c>
      <c r="K298" s="5">
        <v>1.1000000000000001</v>
      </c>
      <c r="L298" s="5">
        <v>91.59</v>
      </c>
      <c r="M298" s="5">
        <v>32.308999999999997</v>
      </c>
      <c r="N298" s="5">
        <v>2.1909999999999998</v>
      </c>
      <c r="O298" s="5">
        <f t="shared" si="18"/>
        <v>780</v>
      </c>
      <c r="P298" s="5">
        <f t="shared" si="19"/>
        <v>90</v>
      </c>
      <c r="R298" s="5">
        <v>16.5</v>
      </c>
      <c r="S298" s="5">
        <v>16.53</v>
      </c>
      <c r="T298" s="5">
        <v>35.595333333333336</v>
      </c>
      <c r="U298" s="2">
        <v>0.41349999999999998</v>
      </c>
      <c r="V298" s="5">
        <v>78</v>
      </c>
      <c r="W298" s="5">
        <v>78</v>
      </c>
      <c r="AA298" s="2"/>
      <c r="AJ298" s="4"/>
      <c r="AR298" s="4"/>
    </row>
    <row r="299" spans="4:44">
      <c r="D299" s="5">
        <v>-24.35</v>
      </c>
      <c r="E299" s="5">
        <v>158.48000000000002</v>
      </c>
      <c r="F299" s="5">
        <f t="shared" si="20"/>
        <v>28.170333333333332</v>
      </c>
      <c r="G299" s="2">
        <v>4.7717499999999999</v>
      </c>
      <c r="H299" s="5">
        <f t="shared" si="16"/>
        <v>98.977781249999992</v>
      </c>
      <c r="I299" s="5">
        <f t="shared" si="17"/>
        <v>90</v>
      </c>
      <c r="K299" s="5">
        <v>1.1000000000000001</v>
      </c>
      <c r="L299" s="5">
        <v>90.960000000000008</v>
      </c>
      <c r="M299" s="5">
        <v>32.308999999999997</v>
      </c>
      <c r="N299" s="5">
        <v>2.1422499999999998</v>
      </c>
      <c r="O299" s="5">
        <f t="shared" si="18"/>
        <v>780</v>
      </c>
      <c r="P299" s="5">
        <f t="shared" si="19"/>
        <v>90</v>
      </c>
      <c r="R299" s="5">
        <v>16.125</v>
      </c>
      <c r="S299" s="5">
        <v>15.237499999999999</v>
      </c>
      <c r="T299" s="5">
        <v>35.595333333333336</v>
      </c>
      <c r="U299" s="2">
        <v>0.41387499999999999</v>
      </c>
      <c r="V299" s="5">
        <v>78</v>
      </c>
      <c r="W299" s="5">
        <v>78</v>
      </c>
      <c r="AA299" s="2"/>
      <c r="AJ299" s="4"/>
      <c r="AR299" s="4"/>
    </row>
    <row r="300" spans="4:44">
      <c r="D300" s="5">
        <v>-24.4</v>
      </c>
      <c r="E300" s="5">
        <v>159.41</v>
      </c>
      <c r="F300" s="5">
        <f t="shared" si="20"/>
        <v>28.170333333333332</v>
      </c>
      <c r="G300" s="2">
        <v>4.8174999999999999</v>
      </c>
      <c r="H300" s="5">
        <f t="shared" si="16"/>
        <v>99.031999999999996</v>
      </c>
      <c r="I300" s="5">
        <f t="shared" si="17"/>
        <v>90</v>
      </c>
      <c r="K300" s="5">
        <v>1.1000000000000001</v>
      </c>
      <c r="L300" s="5">
        <v>90.330000000000013</v>
      </c>
      <c r="M300" s="5">
        <v>32.308999999999997</v>
      </c>
      <c r="N300" s="5">
        <v>2.0934999999999997</v>
      </c>
      <c r="O300" s="5">
        <f t="shared" si="18"/>
        <v>780</v>
      </c>
      <c r="P300" s="5">
        <f t="shared" si="19"/>
        <v>90</v>
      </c>
      <c r="R300" s="5">
        <v>15.75</v>
      </c>
      <c r="S300" s="5">
        <v>13.945</v>
      </c>
      <c r="T300" s="5">
        <v>35.595333333333336</v>
      </c>
      <c r="U300" s="2">
        <v>0.41425000000000001</v>
      </c>
      <c r="V300" s="5">
        <v>78</v>
      </c>
      <c r="W300" s="5">
        <v>78</v>
      </c>
      <c r="AA300" s="2"/>
      <c r="AJ300" s="4"/>
      <c r="AR300" s="4"/>
    </row>
    <row r="301" spans="4:44">
      <c r="D301" s="5">
        <v>-24.45</v>
      </c>
      <c r="E301" s="5">
        <v>160.33999999999997</v>
      </c>
      <c r="F301" s="5">
        <f t="shared" si="20"/>
        <v>28.170333333333332</v>
      </c>
      <c r="G301" s="2">
        <v>4.8632499999999999</v>
      </c>
      <c r="H301" s="5">
        <f t="shared" si="16"/>
        <v>99.086281249999999</v>
      </c>
      <c r="I301" s="5">
        <f t="shared" si="17"/>
        <v>90</v>
      </c>
      <c r="K301" s="5">
        <v>1.1000000000000001</v>
      </c>
      <c r="L301" s="5">
        <v>89.7</v>
      </c>
      <c r="M301" s="5">
        <v>32.308999999999997</v>
      </c>
      <c r="N301" s="5">
        <v>2.0447500000000001</v>
      </c>
      <c r="O301" s="5">
        <f t="shared" si="18"/>
        <v>780</v>
      </c>
      <c r="P301" s="5">
        <f t="shared" si="19"/>
        <v>90</v>
      </c>
      <c r="R301" s="5">
        <v>15.375</v>
      </c>
      <c r="S301" s="5">
        <v>12.6525</v>
      </c>
      <c r="T301" s="5">
        <v>35.595333333333336</v>
      </c>
      <c r="U301" s="2">
        <v>0.41462500000000002</v>
      </c>
      <c r="V301" s="5">
        <v>78</v>
      </c>
      <c r="W301" s="5">
        <v>78</v>
      </c>
      <c r="AA301" s="2"/>
      <c r="AJ301" s="4"/>
      <c r="AR301" s="4"/>
    </row>
    <row r="302" spans="4:44">
      <c r="D302" s="5">
        <v>-24.5</v>
      </c>
      <c r="E302" s="5">
        <v>161.26999999999998</v>
      </c>
      <c r="F302" s="5">
        <f t="shared" si="20"/>
        <v>28.170333333333332</v>
      </c>
      <c r="G302" s="2">
        <v>4.9089999999999998</v>
      </c>
      <c r="H302" s="5">
        <f t="shared" si="16"/>
        <v>99.140625</v>
      </c>
      <c r="I302" s="5">
        <f t="shared" si="17"/>
        <v>90</v>
      </c>
      <c r="K302" s="5">
        <v>1.1000000000000001</v>
      </c>
      <c r="L302" s="5">
        <v>89.07</v>
      </c>
      <c r="M302" s="5">
        <v>32.308999999999997</v>
      </c>
      <c r="N302" s="5">
        <v>1.996</v>
      </c>
      <c r="O302" s="5">
        <f t="shared" si="18"/>
        <v>780</v>
      </c>
      <c r="P302" s="5">
        <f t="shared" si="19"/>
        <v>90</v>
      </c>
      <c r="R302" s="5">
        <v>15</v>
      </c>
      <c r="S302" s="5">
        <v>11.36</v>
      </c>
      <c r="T302" s="5">
        <v>35.595333333333336</v>
      </c>
      <c r="U302" s="2">
        <v>0.41499999999999998</v>
      </c>
      <c r="V302" s="5">
        <v>78</v>
      </c>
      <c r="W302" s="5">
        <v>78</v>
      </c>
      <c r="AA302" s="2"/>
      <c r="AJ302" s="4"/>
      <c r="AR302" s="4"/>
    </row>
    <row r="303" spans="4:44">
      <c r="D303" s="5">
        <v>-24.5</v>
      </c>
      <c r="E303" s="5">
        <v>159.70249999999999</v>
      </c>
      <c r="F303" s="5">
        <f t="shared" si="20"/>
        <v>28.170333333333332</v>
      </c>
      <c r="G303" s="2">
        <v>4.9092500000000001</v>
      </c>
      <c r="H303" s="5">
        <f t="shared" si="16"/>
        <v>99.140625</v>
      </c>
      <c r="I303" s="5">
        <f t="shared" si="17"/>
        <v>90</v>
      </c>
      <c r="K303" s="5">
        <v>1.1000000000000001</v>
      </c>
      <c r="L303" s="5">
        <v>89.03</v>
      </c>
      <c r="M303" s="5">
        <v>32.308999999999997</v>
      </c>
      <c r="N303" s="5">
        <v>1.8442499999999999</v>
      </c>
      <c r="O303" s="5">
        <f t="shared" si="18"/>
        <v>780</v>
      </c>
      <c r="P303" s="5">
        <f t="shared" si="19"/>
        <v>90</v>
      </c>
      <c r="R303" s="5">
        <v>14.775</v>
      </c>
      <c r="S303" s="5">
        <v>11</v>
      </c>
      <c r="T303" s="5">
        <v>35.595333333333336</v>
      </c>
      <c r="U303" s="2">
        <v>0.41522500000000001</v>
      </c>
      <c r="V303" s="5">
        <v>78</v>
      </c>
      <c r="W303" s="5">
        <v>78</v>
      </c>
      <c r="AA303" s="2"/>
      <c r="AJ303" s="4"/>
      <c r="AR303" s="4"/>
    </row>
    <row r="304" spans="4:44">
      <c r="D304" s="5">
        <v>-24.5</v>
      </c>
      <c r="E304" s="5">
        <v>158.13499999999999</v>
      </c>
      <c r="F304" s="5">
        <f t="shared" si="20"/>
        <v>28.170333333333332</v>
      </c>
      <c r="G304" s="2">
        <v>4.9094999999999995</v>
      </c>
      <c r="H304" s="5">
        <f t="shared" si="16"/>
        <v>99.140625</v>
      </c>
      <c r="I304" s="5">
        <f t="shared" si="17"/>
        <v>90</v>
      </c>
      <c r="K304" s="5">
        <v>1.1000000000000001</v>
      </c>
      <c r="L304" s="5">
        <v>88.990000000000009</v>
      </c>
      <c r="M304" s="5">
        <v>32.308999999999997</v>
      </c>
      <c r="N304" s="5">
        <v>1.6925000000000001</v>
      </c>
      <c r="O304" s="5">
        <f t="shared" si="18"/>
        <v>780</v>
      </c>
      <c r="P304" s="5">
        <f t="shared" si="19"/>
        <v>90</v>
      </c>
      <c r="R304" s="5">
        <v>14.55</v>
      </c>
      <c r="S304" s="5">
        <v>10.64</v>
      </c>
      <c r="T304" s="5">
        <v>35.595333333333336</v>
      </c>
      <c r="U304" s="2">
        <v>0.41544999999999999</v>
      </c>
      <c r="V304" s="5">
        <v>78</v>
      </c>
      <c r="W304" s="5">
        <v>78</v>
      </c>
      <c r="AA304" s="2"/>
      <c r="AJ304" s="4"/>
      <c r="AR304" s="4"/>
    </row>
    <row r="305" spans="4:44">
      <c r="D305" s="5">
        <v>-24.5</v>
      </c>
      <c r="E305" s="5">
        <v>156.5675</v>
      </c>
      <c r="F305" s="5">
        <f t="shared" si="20"/>
        <v>28.170333333333332</v>
      </c>
      <c r="G305" s="2">
        <v>4.9097499999999998</v>
      </c>
      <c r="H305" s="5">
        <f t="shared" si="16"/>
        <v>99.140625</v>
      </c>
      <c r="I305" s="5">
        <f t="shared" si="17"/>
        <v>90</v>
      </c>
      <c r="K305" s="5">
        <v>1.1000000000000001</v>
      </c>
      <c r="L305" s="5">
        <v>88.949999999999989</v>
      </c>
      <c r="M305" s="5">
        <v>32.308999999999997</v>
      </c>
      <c r="N305" s="5">
        <v>1.5407500000000001</v>
      </c>
      <c r="O305" s="5">
        <f t="shared" si="18"/>
        <v>780</v>
      </c>
      <c r="P305" s="5">
        <f t="shared" si="19"/>
        <v>90</v>
      </c>
      <c r="R305" s="5">
        <v>14.324999999999999</v>
      </c>
      <c r="S305" s="5">
        <v>10.280000000000001</v>
      </c>
      <c r="T305" s="5">
        <v>35.595333333333336</v>
      </c>
      <c r="U305" s="2">
        <v>0.41567500000000002</v>
      </c>
      <c r="V305" s="5">
        <v>78</v>
      </c>
      <c r="W305" s="5">
        <v>78</v>
      </c>
      <c r="AA305" s="2"/>
      <c r="AJ305" s="4"/>
      <c r="AR305" s="4"/>
    </row>
    <row r="306" spans="4:44">
      <c r="D306" s="5">
        <v>-24.5</v>
      </c>
      <c r="E306" s="5">
        <v>155</v>
      </c>
      <c r="F306" s="5">
        <f t="shared" si="20"/>
        <v>28.170333333333332</v>
      </c>
      <c r="G306" s="2">
        <v>4.91</v>
      </c>
      <c r="H306" s="5">
        <f t="shared" si="16"/>
        <v>99.140625</v>
      </c>
      <c r="I306" s="5">
        <f t="shared" si="17"/>
        <v>90</v>
      </c>
      <c r="K306" s="5">
        <v>1.1000000000000001</v>
      </c>
      <c r="L306" s="5">
        <v>88.91</v>
      </c>
      <c r="M306" s="5">
        <v>32.308999999999997</v>
      </c>
      <c r="N306" s="5">
        <v>1.389</v>
      </c>
      <c r="O306" s="5">
        <f t="shared" si="18"/>
        <v>780</v>
      </c>
      <c r="P306" s="5">
        <f t="shared" si="19"/>
        <v>90</v>
      </c>
      <c r="R306" s="5">
        <v>14.1</v>
      </c>
      <c r="S306" s="5">
        <v>9.92</v>
      </c>
      <c r="T306" s="5">
        <v>35.595333333333336</v>
      </c>
      <c r="U306" s="2">
        <v>0.41589999999999999</v>
      </c>
      <c r="V306" s="5">
        <v>78</v>
      </c>
      <c r="W306" s="5">
        <v>78</v>
      </c>
      <c r="AA306" s="2"/>
      <c r="AJ306" s="4"/>
      <c r="AR306" s="4"/>
    </row>
    <row r="307" spans="4:44">
      <c r="D307" s="5">
        <v>-24.574999999999999</v>
      </c>
      <c r="E307" s="5">
        <v>155.625</v>
      </c>
      <c r="F307" s="5">
        <f t="shared" si="20"/>
        <v>28.170333333333332</v>
      </c>
      <c r="G307" s="2">
        <v>4.9009999999999998</v>
      </c>
      <c r="H307" s="5">
        <f t="shared" si="16"/>
        <v>99.222257812500004</v>
      </c>
      <c r="I307" s="5">
        <f t="shared" si="17"/>
        <v>90</v>
      </c>
      <c r="K307" s="5">
        <v>1.0249999999999999</v>
      </c>
      <c r="L307" s="5">
        <v>89.652500000000003</v>
      </c>
      <c r="M307" s="5">
        <v>32.308999999999997</v>
      </c>
      <c r="N307" s="5">
        <v>1.56525</v>
      </c>
      <c r="O307" s="5">
        <f t="shared" si="18"/>
        <v>780</v>
      </c>
      <c r="P307" s="5">
        <f t="shared" si="19"/>
        <v>90</v>
      </c>
      <c r="R307" s="5">
        <v>14.15</v>
      </c>
      <c r="S307" s="5">
        <v>9.3525000000000009</v>
      </c>
      <c r="T307" s="5">
        <v>35.595333333333336</v>
      </c>
      <c r="U307" s="2">
        <v>0.41585</v>
      </c>
      <c r="V307" s="5">
        <v>78</v>
      </c>
      <c r="W307" s="5">
        <v>78</v>
      </c>
      <c r="AA307" s="2"/>
      <c r="AJ307" s="4"/>
      <c r="AR307" s="4"/>
    </row>
    <row r="308" spans="4:44">
      <c r="D308" s="5">
        <v>-24.65</v>
      </c>
      <c r="E308" s="5">
        <v>156.25</v>
      </c>
      <c r="F308" s="5">
        <f t="shared" si="20"/>
        <v>28.170333333333332</v>
      </c>
      <c r="G308" s="2">
        <v>4.8919999999999995</v>
      </c>
      <c r="H308" s="5">
        <f t="shared" si="16"/>
        <v>99.304031249999994</v>
      </c>
      <c r="I308" s="5">
        <f t="shared" si="17"/>
        <v>90</v>
      </c>
      <c r="K308" s="5">
        <v>0.95000000000000007</v>
      </c>
      <c r="L308" s="5">
        <v>90.39500000000001</v>
      </c>
      <c r="M308" s="5">
        <v>32.308999999999997</v>
      </c>
      <c r="N308" s="5">
        <v>1.7415</v>
      </c>
      <c r="O308" s="5">
        <f t="shared" si="18"/>
        <v>780</v>
      </c>
      <c r="P308" s="5">
        <f t="shared" si="19"/>
        <v>90</v>
      </c>
      <c r="R308" s="5">
        <v>14.2</v>
      </c>
      <c r="S308" s="5">
        <v>8.7850000000000001</v>
      </c>
      <c r="T308" s="5">
        <v>35.595333333333336</v>
      </c>
      <c r="U308" s="2">
        <v>0.4158</v>
      </c>
      <c r="V308" s="5">
        <v>78</v>
      </c>
      <c r="W308" s="5">
        <v>78</v>
      </c>
      <c r="AA308" s="2"/>
      <c r="AJ308" s="4"/>
      <c r="AR308" s="4"/>
    </row>
    <row r="309" spans="4:44">
      <c r="D309" s="5">
        <v>-24.725000000000001</v>
      </c>
      <c r="E309" s="5">
        <v>156.875</v>
      </c>
      <c r="F309" s="5">
        <f t="shared" si="20"/>
        <v>28.170333333333332</v>
      </c>
      <c r="G309" s="2">
        <v>4.883</v>
      </c>
      <c r="H309" s="5">
        <f t="shared" si="16"/>
        <v>99.385945312499999</v>
      </c>
      <c r="I309" s="5">
        <f t="shared" si="17"/>
        <v>90</v>
      </c>
      <c r="K309" s="5">
        <v>0.875</v>
      </c>
      <c r="L309" s="5">
        <v>91.137499999999989</v>
      </c>
      <c r="M309" s="5">
        <v>32.308999999999997</v>
      </c>
      <c r="N309" s="5">
        <v>1.9177500000000001</v>
      </c>
      <c r="O309" s="5">
        <f t="shared" si="18"/>
        <v>780</v>
      </c>
      <c r="P309" s="5">
        <f t="shared" si="19"/>
        <v>90</v>
      </c>
      <c r="R309" s="5">
        <v>14.25</v>
      </c>
      <c r="S309" s="5">
        <v>8.2174999999999994</v>
      </c>
      <c r="T309" s="5">
        <v>35.595333333333336</v>
      </c>
      <c r="U309" s="2">
        <v>0.41575000000000001</v>
      </c>
      <c r="V309" s="5">
        <v>78</v>
      </c>
      <c r="W309" s="5">
        <v>78</v>
      </c>
      <c r="AA309" s="2"/>
      <c r="AJ309" s="4"/>
      <c r="AR309" s="4"/>
    </row>
    <row r="310" spans="4:44">
      <c r="D310" s="5">
        <v>-24.8</v>
      </c>
      <c r="E310" s="5">
        <v>157.5</v>
      </c>
      <c r="F310" s="5">
        <f t="shared" si="20"/>
        <v>28.170333333333332</v>
      </c>
      <c r="G310" s="2">
        <v>4.8739999999999997</v>
      </c>
      <c r="H310" s="5">
        <f t="shared" si="16"/>
        <v>99.468000000000004</v>
      </c>
      <c r="I310" s="5">
        <f t="shared" si="17"/>
        <v>90</v>
      </c>
      <c r="K310" s="5">
        <v>0.8</v>
      </c>
      <c r="L310" s="5">
        <v>91.88000000000001</v>
      </c>
      <c r="M310" s="5">
        <v>32.308999999999997</v>
      </c>
      <c r="N310" s="5">
        <v>2.0939999999999999</v>
      </c>
      <c r="O310" s="5">
        <f t="shared" si="18"/>
        <v>780</v>
      </c>
      <c r="P310" s="5">
        <f t="shared" si="19"/>
        <v>90</v>
      </c>
      <c r="R310" s="5">
        <v>14.3</v>
      </c>
      <c r="S310" s="5">
        <v>7.65</v>
      </c>
      <c r="T310" s="5">
        <v>35.595333333333336</v>
      </c>
      <c r="U310" s="2">
        <v>0.41570000000000001</v>
      </c>
      <c r="V310" s="5">
        <v>78</v>
      </c>
      <c r="W310" s="5">
        <v>78</v>
      </c>
      <c r="AA310" s="2"/>
      <c r="AJ310" s="4"/>
      <c r="AR310" s="4"/>
    </row>
    <row r="311" spans="4:44">
      <c r="D311" s="5">
        <v>-24.824999999999999</v>
      </c>
      <c r="E311" s="5">
        <v>166.17249999999999</v>
      </c>
      <c r="F311" s="5">
        <f t="shared" si="20"/>
        <v>28.170333333333332</v>
      </c>
      <c r="G311" s="2">
        <v>4.8574999999999999</v>
      </c>
      <c r="H311" s="5">
        <f t="shared" si="16"/>
        <v>99.495382812499997</v>
      </c>
      <c r="I311" s="5">
        <f t="shared" si="17"/>
        <v>90</v>
      </c>
      <c r="K311" s="5">
        <v>0.77500000000000002</v>
      </c>
      <c r="L311" s="5">
        <v>92.535000000000011</v>
      </c>
      <c r="M311" s="5">
        <v>32.308999999999997</v>
      </c>
      <c r="N311" s="5">
        <v>2.109</v>
      </c>
      <c r="O311" s="5">
        <f t="shared" si="18"/>
        <v>780</v>
      </c>
      <c r="P311" s="5">
        <f t="shared" si="19"/>
        <v>90</v>
      </c>
      <c r="R311" s="5">
        <v>14.225</v>
      </c>
      <c r="S311" s="5">
        <v>9.41</v>
      </c>
      <c r="T311" s="5">
        <v>35.595333333333336</v>
      </c>
      <c r="U311" s="2">
        <v>0.41577500000000001</v>
      </c>
      <c r="V311" s="5">
        <v>78</v>
      </c>
      <c r="W311" s="5">
        <v>78</v>
      </c>
      <c r="AA311" s="2"/>
      <c r="AJ311" s="4"/>
      <c r="AR311" s="4"/>
    </row>
    <row r="312" spans="4:44">
      <c r="D312" s="5">
        <v>-24.85</v>
      </c>
      <c r="E312" s="5">
        <v>174.845</v>
      </c>
      <c r="F312" s="5">
        <f t="shared" si="20"/>
        <v>28.170333333333332</v>
      </c>
      <c r="G312" s="2">
        <v>4.8409999999999993</v>
      </c>
      <c r="H312" s="5">
        <f t="shared" si="16"/>
        <v>99.522781250000008</v>
      </c>
      <c r="I312" s="5">
        <f t="shared" si="17"/>
        <v>90</v>
      </c>
      <c r="K312" s="5">
        <v>0.75</v>
      </c>
      <c r="L312" s="5">
        <v>93.19</v>
      </c>
      <c r="M312" s="5">
        <v>32.308999999999997</v>
      </c>
      <c r="N312" s="5">
        <v>2.1240000000000001</v>
      </c>
      <c r="O312" s="5">
        <f t="shared" si="18"/>
        <v>780</v>
      </c>
      <c r="P312" s="5">
        <f t="shared" si="19"/>
        <v>90</v>
      </c>
      <c r="R312" s="5">
        <v>14.15</v>
      </c>
      <c r="S312" s="5">
        <v>11.17</v>
      </c>
      <c r="T312" s="5">
        <v>35.595333333333336</v>
      </c>
      <c r="U312" s="2">
        <v>0.41585</v>
      </c>
      <c r="V312" s="5">
        <v>78</v>
      </c>
      <c r="W312" s="5">
        <v>78</v>
      </c>
      <c r="AA312" s="2"/>
      <c r="AJ312" s="4"/>
      <c r="AR312" s="4"/>
    </row>
    <row r="313" spans="4:44">
      <c r="D313" s="5">
        <v>-24.875</v>
      </c>
      <c r="E313" s="5">
        <v>183.51749999999998</v>
      </c>
      <c r="F313" s="5">
        <f t="shared" si="20"/>
        <v>28.170333333333332</v>
      </c>
      <c r="G313" s="2">
        <v>4.8244999999999996</v>
      </c>
      <c r="H313" s="5">
        <f t="shared" si="16"/>
        <v>99.550195312499994</v>
      </c>
      <c r="I313" s="5">
        <f t="shared" si="17"/>
        <v>90</v>
      </c>
      <c r="K313" s="5">
        <v>0.72499999999999998</v>
      </c>
      <c r="L313" s="5">
        <v>93.844999999999999</v>
      </c>
      <c r="M313" s="5">
        <v>32.308999999999997</v>
      </c>
      <c r="N313" s="5">
        <v>2.1389999999999998</v>
      </c>
      <c r="O313" s="5">
        <f t="shared" si="18"/>
        <v>780</v>
      </c>
      <c r="P313" s="5">
        <f t="shared" si="19"/>
        <v>90</v>
      </c>
      <c r="R313" s="5">
        <v>14.074999999999999</v>
      </c>
      <c r="S313" s="5">
        <v>12.93</v>
      </c>
      <c r="T313" s="5">
        <v>35.595333333333336</v>
      </c>
      <c r="U313" s="2">
        <v>0.41592499999999999</v>
      </c>
      <c r="V313" s="5">
        <v>78</v>
      </c>
      <c r="W313" s="5">
        <v>78</v>
      </c>
      <c r="AA313" s="2"/>
      <c r="AJ313" s="4"/>
      <c r="AR313" s="4"/>
    </row>
    <row r="314" spans="4:44">
      <c r="D314" s="5">
        <v>-24.9</v>
      </c>
      <c r="E314" s="5">
        <v>192.19</v>
      </c>
      <c r="F314" s="5">
        <f t="shared" si="20"/>
        <v>28.170333333333332</v>
      </c>
      <c r="G314" s="2">
        <v>4.8079999999999998</v>
      </c>
      <c r="H314" s="5">
        <f t="shared" si="16"/>
        <v>99.577624999999998</v>
      </c>
      <c r="I314" s="5">
        <f t="shared" si="17"/>
        <v>90</v>
      </c>
      <c r="K314" s="5">
        <v>0.7</v>
      </c>
      <c r="L314" s="5">
        <v>94.5</v>
      </c>
      <c r="M314" s="5">
        <v>32.308999999999997</v>
      </c>
      <c r="N314" s="5">
        <v>2.1539999999999999</v>
      </c>
      <c r="O314" s="5">
        <f t="shared" si="18"/>
        <v>780</v>
      </c>
      <c r="P314" s="5">
        <f t="shared" si="19"/>
        <v>90</v>
      </c>
      <c r="R314" s="5">
        <v>14</v>
      </c>
      <c r="S314" s="5">
        <v>14.690000000000001</v>
      </c>
      <c r="T314" s="5">
        <v>35.595333333333336</v>
      </c>
      <c r="U314" s="2">
        <v>0.41599999999999998</v>
      </c>
      <c r="V314" s="5">
        <v>78</v>
      </c>
      <c r="W314" s="5">
        <v>78</v>
      </c>
      <c r="AA314" s="2"/>
      <c r="AJ314" s="4"/>
      <c r="AR314" s="4"/>
    </row>
    <row r="315" spans="4:44">
      <c r="D315" s="5">
        <v>-24.95</v>
      </c>
      <c r="E315" s="5">
        <v>185.99250000000001</v>
      </c>
      <c r="F315" s="5">
        <f t="shared" si="20"/>
        <v>28.170333333333332</v>
      </c>
      <c r="G315" s="2">
        <v>4.8297499999999998</v>
      </c>
      <c r="H315" s="5">
        <f t="shared" si="16"/>
        <v>99.63253125</v>
      </c>
      <c r="I315" s="5">
        <f t="shared" si="17"/>
        <v>90</v>
      </c>
      <c r="K315" s="5">
        <v>0.72499999999999998</v>
      </c>
      <c r="L315" s="5">
        <v>96.105000000000004</v>
      </c>
      <c r="M315" s="5">
        <v>32.308999999999997</v>
      </c>
      <c r="N315" s="5">
        <v>2.1835</v>
      </c>
      <c r="O315" s="5">
        <f t="shared" si="18"/>
        <v>780</v>
      </c>
      <c r="P315" s="5">
        <f t="shared" si="19"/>
        <v>90</v>
      </c>
      <c r="R315" s="5">
        <v>14.6</v>
      </c>
      <c r="S315" s="5">
        <v>17.074999999999999</v>
      </c>
      <c r="T315" s="5">
        <v>35.595333333333336</v>
      </c>
      <c r="U315" s="2">
        <v>0.41539999999999999</v>
      </c>
      <c r="V315" s="5">
        <v>78</v>
      </c>
      <c r="W315" s="5">
        <v>78</v>
      </c>
      <c r="AA315" s="2"/>
      <c r="AJ315" s="4"/>
      <c r="AR315" s="4"/>
    </row>
    <row r="316" spans="4:44">
      <c r="D316" s="5">
        <v>-25</v>
      </c>
      <c r="E316" s="5">
        <v>179.79500000000002</v>
      </c>
      <c r="F316" s="5">
        <f t="shared" si="20"/>
        <v>28.170333333333332</v>
      </c>
      <c r="G316" s="2">
        <v>4.8514999999999997</v>
      </c>
      <c r="H316" s="5">
        <f t="shared" si="16"/>
        <v>99.6875</v>
      </c>
      <c r="I316" s="5">
        <f t="shared" si="17"/>
        <v>90</v>
      </c>
      <c r="K316" s="5">
        <v>0.75</v>
      </c>
      <c r="L316" s="5">
        <v>97.710000000000008</v>
      </c>
      <c r="M316" s="5">
        <v>32.308999999999997</v>
      </c>
      <c r="N316" s="5">
        <v>2.2130000000000001</v>
      </c>
      <c r="O316" s="5">
        <f t="shared" si="18"/>
        <v>780</v>
      </c>
      <c r="P316" s="5">
        <f t="shared" si="19"/>
        <v>90</v>
      </c>
      <c r="R316" s="5">
        <v>15.2</v>
      </c>
      <c r="S316" s="5">
        <v>19.46</v>
      </c>
      <c r="T316" s="5">
        <v>35.595333333333336</v>
      </c>
      <c r="U316" s="2">
        <v>0.4148</v>
      </c>
      <c r="V316" s="5">
        <v>78</v>
      </c>
      <c r="W316" s="5">
        <v>78</v>
      </c>
      <c r="AA316" s="2"/>
      <c r="AJ316" s="4"/>
      <c r="AR316" s="4"/>
    </row>
    <row r="317" spans="4:44">
      <c r="D317" s="5">
        <v>-25.05</v>
      </c>
      <c r="E317" s="5">
        <v>173.59749999999997</v>
      </c>
      <c r="F317" s="5">
        <f t="shared" si="20"/>
        <v>28.170333333333332</v>
      </c>
      <c r="G317" s="2">
        <v>4.8732499999999996</v>
      </c>
      <c r="H317" s="5">
        <f t="shared" si="16"/>
        <v>99.742531249999999</v>
      </c>
      <c r="I317" s="5">
        <f t="shared" si="17"/>
        <v>90</v>
      </c>
      <c r="K317" s="5">
        <v>0.77500000000000002</v>
      </c>
      <c r="L317" s="5">
        <v>99.314999999999998</v>
      </c>
      <c r="M317" s="5">
        <v>32.308999999999997</v>
      </c>
      <c r="N317" s="5">
        <v>2.2424999999999997</v>
      </c>
      <c r="O317" s="5">
        <f t="shared" si="18"/>
        <v>780</v>
      </c>
      <c r="P317" s="5">
        <f t="shared" si="19"/>
        <v>90</v>
      </c>
      <c r="R317" s="5">
        <v>15.8</v>
      </c>
      <c r="S317" s="5">
        <v>21.844999999999999</v>
      </c>
      <c r="T317" s="5">
        <v>35.595333333333336</v>
      </c>
      <c r="U317" s="2">
        <v>0.41420000000000001</v>
      </c>
      <c r="V317" s="5">
        <v>78</v>
      </c>
      <c r="W317" s="5">
        <v>78</v>
      </c>
      <c r="AA317" s="2"/>
      <c r="AJ317" s="4"/>
      <c r="AR317" s="4"/>
    </row>
    <row r="318" spans="4:44">
      <c r="D318" s="5">
        <v>-25.1</v>
      </c>
      <c r="E318" s="5">
        <v>167.39999999999998</v>
      </c>
      <c r="F318" s="5">
        <f t="shared" si="20"/>
        <v>28.170333333333332</v>
      </c>
      <c r="G318" s="2">
        <v>4.8949999999999996</v>
      </c>
      <c r="H318" s="5">
        <f t="shared" si="16"/>
        <v>99.797624999999996</v>
      </c>
      <c r="I318" s="5">
        <f t="shared" si="17"/>
        <v>90</v>
      </c>
      <c r="K318" s="5">
        <v>0.8</v>
      </c>
      <c r="L318" s="5">
        <v>100.92</v>
      </c>
      <c r="M318" s="5">
        <v>32.308999999999997</v>
      </c>
      <c r="N318" s="5">
        <v>2.2719999999999998</v>
      </c>
      <c r="O318" s="5">
        <f t="shared" si="18"/>
        <v>780</v>
      </c>
      <c r="P318" s="5">
        <f t="shared" si="19"/>
        <v>90</v>
      </c>
      <c r="R318" s="5">
        <v>16.399999999999999</v>
      </c>
      <c r="S318" s="5">
        <v>24.23</v>
      </c>
      <c r="T318" s="5">
        <v>35.595333333333336</v>
      </c>
      <c r="U318" s="2">
        <v>0.41359999999999997</v>
      </c>
      <c r="V318" s="5">
        <v>78</v>
      </c>
      <c r="W318" s="5">
        <v>78</v>
      </c>
      <c r="AA318" s="2"/>
      <c r="AJ318" s="4"/>
      <c r="AR318" s="4"/>
    </row>
    <row r="319" spans="4:44">
      <c r="D319" s="5">
        <v>-25.074999999999999</v>
      </c>
      <c r="E319" s="5">
        <v>162.75</v>
      </c>
      <c r="F319" s="5">
        <f t="shared" si="20"/>
        <v>28.170333333333332</v>
      </c>
      <c r="G319" s="2">
        <v>4.9579999999999993</v>
      </c>
      <c r="H319" s="5">
        <f t="shared" si="16"/>
        <v>99.770070312499996</v>
      </c>
      <c r="I319" s="5">
        <f t="shared" si="17"/>
        <v>90</v>
      </c>
      <c r="K319" s="5">
        <v>0.82500000000000007</v>
      </c>
      <c r="L319" s="5">
        <v>107.94750000000001</v>
      </c>
      <c r="M319" s="5">
        <v>32.308999999999997</v>
      </c>
      <c r="N319" s="5">
        <v>2.2874999999999996</v>
      </c>
      <c r="O319" s="5">
        <f t="shared" si="18"/>
        <v>780</v>
      </c>
      <c r="P319" s="5">
        <f t="shared" si="19"/>
        <v>90</v>
      </c>
      <c r="R319" s="5">
        <v>16.75</v>
      </c>
      <c r="S319" s="5">
        <v>25.887500000000003</v>
      </c>
      <c r="T319" s="5">
        <v>35.595333333333336</v>
      </c>
      <c r="U319" s="2">
        <v>0.41325000000000001</v>
      </c>
      <c r="V319" s="5">
        <v>78</v>
      </c>
      <c r="W319" s="5">
        <v>78</v>
      </c>
      <c r="AA319" s="2"/>
      <c r="AJ319" s="4"/>
      <c r="AR319" s="4"/>
    </row>
    <row r="320" spans="4:44">
      <c r="D320" s="5">
        <v>-25.05</v>
      </c>
      <c r="E320" s="5">
        <v>158.1</v>
      </c>
      <c r="F320" s="5">
        <f t="shared" si="20"/>
        <v>28.170333333333332</v>
      </c>
      <c r="G320" s="2">
        <v>5.020999999999999</v>
      </c>
      <c r="H320" s="5">
        <f t="shared" si="16"/>
        <v>99.742531249999999</v>
      </c>
      <c r="I320" s="5">
        <f t="shared" si="17"/>
        <v>90</v>
      </c>
      <c r="K320" s="5">
        <v>0.85000000000000009</v>
      </c>
      <c r="L320" s="5">
        <v>114.97500000000001</v>
      </c>
      <c r="M320" s="5">
        <v>32.308999999999997</v>
      </c>
      <c r="N320" s="5">
        <v>2.3029999999999999</v>
      </c>
      <c r="O320" s="5">
        <f t="shared" si="18"/>
        <v>780</v>
      </c>
      <c r="P320" s="5">
        <f t="shared" si="19"/>
        <v>90</v>
      </c>
      <c r="R320" s="5">
        <v>17.100000000000001</v>
      </c>
      <c r="S320" s="5">
        <v>27.545000000000002</v>
      </c>
      <c r="T320" s="5">
        <v>35.595333333333336</v>
      </c>
      <c r="U320" s="2">
        <v>0.41289999999999999</v>
      </c>
      <c r="V320" s="5">
        <v>78</v>
      </c>
      <c r="W320" s="5">
        <v>78</v>
      </c>
      <c r="AA320" s="2"/>
      <c r="AJ320" s="4"/>
      <c r="AR320" s="4"/>
    </row>
    <row r="321" spans="4:44">
      <c r="D321" s="5">
        <v>-25.024999999999999</v>
      </c>
      <c r="E321" s="5">
        <v>153.45000000000002</v>
      </c>
      <c r="F321" s="5">
        <f t="shared" si="20"/>
        <v>28.170333333333332</v>
      </c>
      <c r="G321" s="2">
        <v>5.0839999999999996</v>
      </c>
      <c r="H321" s="5">
        <f t="shared" si="16"/>
        <v>99.715007812500005</v>
      </c>
      <c r="I321" s="5">
        <f t="shared" si="17"/>
        <v>90</v>
      </c>
      <c r="K321" s="5">
        <v>0.875</v>
      </c>
      <c r="L321" s="5">
        <v>122.0025</v>
      </c>
      <c r="M321" s="5">
        <v>32.308999999999997</v>
      </c>
      <c r="N321" s="5">
        <v>2.3184999999999998</v>
      </c>
      <c r="O321" s="5">
        <f t="shared" si="18"/>
        <v>780</v>
      </c>
      <c r="P321" s="5">
        <f t="shared" si="19"/>
        <v>90</v>
      </c>
      <c r="R321" s="5">
        <v>17.45</v>
      </c>
      <c r="S321" s="5">
        <v>29.202499999999997</v>
      </c>
      <c r="T321" s="5">
        <v>35.595333333333336</v>
      </c>
      <c r="U321" s="2">
        <v>0.41254999999999997</v>
      </c>
      <c r="V321" s="5">
        <v>78</v>
      </c>
      <c r="W321" s="5">
        <v>78</v>
      </c>
      <c r="AA321" s="2"/>
      <c r="AJ321" s="4"/>
      <c r="AR321" s="4"/>
    </row>
    <row r="322" spans="4:44">
      <c r="D322" s="5">
        <v>-25</v>
      </c>
      <c r="E322" s="5">
        <v>148.80000000000001</v>
      </c>
      <c r="F322" s="5">
        <f t="shared" ref="F322:F353" si="21">$F$289-($F$289-$F$482)/3</f>
        <v>28.170333333333332</v>
      </c>
      <c r="G322" s="2">
        <v>5.1469999999999994</v>
      </c>
      <c r="H322" s="5">
        <f t="shared" si="16"/>
        <v>99.6875</v>
      </c>
      <c r="I322" s="5">
        <f t="shared" si="17"/>
        <v>90</v>
      </c>
      <c r="K322" s="5">
        <v>0.9</v>
      </c>
      <c r="L322" s="5">
        <v>129.03</v>
      </c>
      <c r="M322" s="5">
        <v>32.308999999999997</v>
      </c>
      <c r="N322" s="5">
        <v>2.3339999999999996</v>
      </c>
      <c r="O322" s="5">
        <f t="shared" si="18"/>
        <v>780</v>
      </c>
      <c r="P322" s="5">
        <f t="shared" si="19"/>
        <v>90</v>
      </c>
      <c r="R322" s="5">
        <v>17.8</v>
      </c>
      <c r="S322" s="5">
        <v>30.86</v>
      </c>
      <c r="T322" s="5">
        <v>35.595333333333336</v>
      </c>
      <c r="U322" s="2">
        <v>0.41220000000000001</v>
      </c>
      <c r="V322" s="5">
        <v>78</v>
      </c>
      <c r="W322" s="5">
        <v>78</v>
      </c>
      <c r="AA322" s="2"/>
      <c r="AJ322" s="4"/>
      <c r="AR322" s="4"/>
    </row>
    <row r="323" spans="4:44">
      <c r="D323" s="5">
        <v>-24.975000000000001</v>
      </c>
      <c r="E323" s="5">
        <v>144.9975</v>
      </c>
      <c r="F323" s="5">
        <f t="shared" si="21"/>
        <v>28.170333333333332</v>
      </c>
      <c r="G323" s="2">
        <v>5.1827499999999995</v>
      </c>
      <c r="H323" s="5">
        <f t="shared" ref="H323:H386" si="22">IF(D323&lt;0,0.0125*D323^2-0.475*D323+80,80)</f>
        <v>99.660007812499998</v>
      </c>
      <c r="I323" s="5">
        <f t="shared" ref="I323:I386" si="23">IF(H323&lt;90,H323,90)</f>
        <v>90</v>
      </c>
      <c r="K323" s="5">
        <v>0.97499999999999998</v>
      </c>
      <c r="L323" s="5">
        <v>126.55</v>
      </c>
      <c r="M323" s="5">
        <v>32.308999999999997</v>
      </c>
      <c r="N323" s="5">
        <v>2.3137499999999998</v>
      </c>
      <c r="O323" s="5">
        <f t="shared" ref="O323:O386" si="24">IF(K323&lt;0,0.0125*K323^2-0.475*K323+80,780)</f>
        <v>780</v>
      </c>
      <c r="P323" s="5">
        <f t="shared" ref="P323:P386" si="25">IF(O323&lt;90,O323,90)</f>
        <v>90</v>
      </c>
      <c r="R323" s="5">
        <v>18.100000000000001</v>
      </c>
      <c r="S323" s="5">
        <v>31.1525</v>
      </c>
      <c r="T323" s="5">
        <v>35.595333333333336</v>
      </c>
      <c r="U323" s="2">
        <v>0.41189999999999999</v>
      </c>
      <c r="V323" s="5">
        <v>78</v>
      </c>
      <c r="W323" s="5">
        <v>78</v>
      </c>
      <c r="AA323" s="2"/>
      <c r="AJ323" s="4"/>
      <c r="AR323" s="4"/>
    </row>
    <row r="324" spans="4:44">
      <c r="D324" s="5">
        <v>-24.95</v>
      </c>
      <c r="E324" s="5">
        <v>141.19499999999999</v>
      </c>
      <c r="F324" s="5">
        <f t="shared" si="21"/>
        <v>28.170333333333332</v>
      </c>
      <c r="G324" s="2">
        <v>5.2184999999999997</v>
      </c>
      <c r="H324" s="5">
        <f t="shared" si="22"/>
        <v>99.63253125</v>
      </c>
      <c r="I324" s="5">
        <f t="shared" si="23"/>
        <v>90</v>
      </c>
      <c r="K324" s="5">
        <v>1.05</v>
      </c>
      <c r="L324" s="5">
        <v>124.07</v>
      </c>
      <c r="M324" s="5">
        <v>32.308999999999997</v>
      </c>
      <c r="N324" s="5">
        <v>2.2934999999999999</v>
      </c>
      <c r="O324" s="5">
        <f t="shared" si="24"/>
        <v>780</v>
      </c>
      <c r="P324" s="5">
        <f t="shared" si="25"/>
        <v>90</v>
      </c>
      <c r="R324" s="5">
        <v>18.399999999999999</v>
      </c>
      <c r="S324" s="5">
        <v>31.445</v>
      </c>
      <c r="T324" s="5">
        <v>35.595333333333336</v>
      </c>
      <c r="U324" s="2">
        <v>0.41159999999999997</v>
      </c>
      <c r="V324" s="5">
        <v>78</v>
      </c>
      <c r="W324" s="5">
        <v>78</v>
      </c>
      <c r="AA324" s="2"/>
      <c r="AJ324" s="4"/>
      <c r="AR324" s="4"/>
    </row>
    <row r="325" spans="4:44">
      <c r="D325" s="5">
        <v>-24.925000000000001</v>
      </c>
      <c r="E325" s="5">
        <v>137.39250000000001</v>
      </c>
      <c r="F325" s="5">
        <f t="shared" si="21"/>
        <v>28.170333333333332</v>
      </c>
      <c r="G325" s="2">
        <v>5.2542499999999999</v>
      </c>
      <c r="H325" s="5">
        <f t="shared" si="22"/>
        <v>99.605070312500004</v>
      </c>
      <c r="I325" s="5">
        <f t="shared" si="23"/>
        <v>90</v>
      </c>
      <c r="K325" s="5">
        <v>1.125</v>
      </c>
      <c r="L325" s="5">
        <v>121.59</v>
      </c>
      <c r="M325" s="5">
        <v>32.308999999999997</v>
      </c>
      <c r="N325" s="5">
        <v>2.27325</v>
      </c>
      <c r="O325" s="5">
        <f t="shared" si="24"/>
        <v>780</v>
      </c>
      <c r="P325" s="5">
        <f t="shared" si="25"/>
        <v>90</v>
      </c>
      <c r="R325" s="5">
        <v>18.7</v>
      </c>
      <c r="S325" s="5">
        <v>31.737500000000001</v>
      </c>
      <c r="T325" s="5">
        <v>35.595333333333336</v>
      </c>
      <c r="U325" s="2">
        <v>0.4113</v>
      </c>
      <c r="V325" s="5">
        <v>78</v>
      </c>
      <c r="W325" s="5">
        <v>78</v>
      </c>
      <c r="AA325" s="2"/>
      <c r="AJ325" s="4"/>
      <c r="AR325" s="4"/>
    </row>
    <row r="326" spans="4:44">
      <c r="D326" s="5">
        <v>-24.9</v>
      </c>
      <c r="E326" s="5">
        <v>133.59</v>
      </c>
      <c r="F326" s="5">
        <f t="shared" si="21"/>
        <v>28.170333333333332</v>
      </c>
      <c r="G326" s="2">
        <v>5.29</v>
      </c>
      <c r="H326" s="5">
        <f t="shared" si="22"/>
        <v>99.577624999999998</v>
      </c>
      <c r="I326" s="5">
        <f t="shared" si="23"/>
        <v>90</v>
      </c>
      <c r="K326" s="5">
        <v>1.2</v>
      </c>
      <c r="L326" s="5">
        <v>119.11</v>
      </c>
      <c r="M326" s="5">
        <v>32.308999999999997</v>
      </c>
      <c r="N326" s="5">
        <v>2.2530000000000001</v>
      </c>
      <c r="O326" s="5">
        <f t="shared" si="24"/>
        <v>780</v>
      </c>
      <c r="P326" s="5">
        <f t="shared" si="25"/>
        <v>90</v>
      </c>
      <c r="R326" s="5">
        <v>19</v>
      </c>
      <c r="S326" s="5">
        <v>32.03</v>
      </c>
      <c r="T326" s="5">
        <v>35.595333333333336</v>
      </c>
      <c r="U326" s="2">
        <v>0.41099999999999998</v>
      </c>
      <c r="V326" s="5">
        <v>78</v>
      </c>
      <c r="W326" s="5">
        <v>78</v>
      </c>
      <c r="AA326" s="2"/>
      <c r="AJ326" s="4"/>
      <c r="AR326" s="4"/>
    </row>
    <row r="327" spans="4:44">
      <c r="D327" s="5">
        <v>-24.45</v>
      </c>
      <c r="E327" s="5">
        <v>134.29249999999999</v>
      </c>
      <c r="F327" s="5">
        <f t="shared" si="21"/>
        <v>28.170333333333332</v>
      </c>
      <c r="G327" s="2">
        <v>5.2777500000000002</v>
      </c>
      <c r="H327" s="5">
        <f t="shared" si="22"/>
        <v>99.086281249999999</v>
      </c>
      <c r="I327" s="5">
        <f t="shared" si="23"/>
        <v>90</v>
      </c>
      <c r="K327" s="5">
        <v>1.325</v>
      </c>
      <c r="L327" s="5">
        <v>124.9825</v>
      </c>
      <c r="M327" s="5">
        <v>32.308999999999997</v>
      </c>
      <c r="N327" s="5">
        <v>2.2577500000000001</v>
      </c>
      <c r="O327" s="5">
        <f t="shared" si="24"/>
        <v>780</v>
      </c>
      <c r="P327" s="5">
        <f t="shared" si="25"/>
        <v>90</v>
      </c>
      <c r="R327" s="5">
        <v>19.225000000000001</v>
      </c>
      <c r="S327" s="5">
        <v>30.522500000000001</v>
      </c>
      <c r="T327" s="5">
        <v>35.595333333333336</v>
      </c>
      <c r="U327" s="2">
        <v>0.410775</v>
      </c>
      <c r="V327" s="5">
        <v>78</v>
      </c>
      <c r="W327" s="5">
        <v>78</v>
      </c>
      <c r="AA327" s="2"/>
      <c r="AJ327" s="4"/>
      <c r="AR327" s="4"/>
    </row>
    <row r="328" spans="4:44">
      <c r="D328" s="5">
        <v>-24</v>
      </c>
      <c r="E328" s="5">
        <v>134.995</v>
      </c>
      <c r="F328" s="5">
        <f t="shared" si="21"/>
        <v>28.170333333333332</v>
      </c>
      <c r="G328" s="2">
        <v>5.2654999999999994</v>
      </c>
      <c r="H328" s="5">
        <f t="shared" si="22"/>
        <v>98.6</v>
      </c>
      <c r="I328" s="5">
        <f t="shared" si="23"/>
        <v>90</v>
      </c>
      <c r="K328" s="5">
        <v>1.45</v>
      </c>
      <c r="L328" s="5">
        <v>130.85499999999999</v>
      </c>
      <c r="M328" s="5">
        <v>32.308999999999997</v>
      </c>
      <c r="N328" s="5">
        <v>2.2624999999999997</v>
      </c>
      <c r="O328" s="5">
        <f t="shared" si="24"/>
        <v>780</v>
      </c>
      <c r="P328" s="5">
        <f t="shared" si="25"/>
        <v>90</v>
      </c>
      <c r="R328" s="5">
        <v>19.45</v>
      </c>
      <c r="S328" s="5">
        <v>29.015000000000001</v>
      </c>
      <c r="T328" s="5">
        <v>35.595333333333336</v>
      </c>
      <c r="U328" s="2">
        <v>0.41054999999999997</v>
      </c>
      <c r="V328" s="5">
        <v>78</v>
      </c>
      <c r="W328" s="5">
        <v>78</v>
      </c>
      <c r="AA328" s="2"/>
      <c r="AJ328" s="4"/>
      <c r="AR328" s="4"/>
    </row>
    <row r="329" spans="4:44">
      <c r="D329" s="5">
        <v>-23.55</v>
      </c>
      <c r="E329" s="5">
        <v>135.69750000000002</v>
      </c>
      <c r="F329" s="5">
        <f t="shared" si="21"/>
        <v>28.170333333333332</v>
      </c>
      <c r="G329" s="2">
        <v>5.2532499999999995</v>
      </c>
      <c r="H329" s="5">
        <f t="shared" si="22"/>
        <v>98.118781249999998</v>
      </c>
      <c r="I329" s="5">
        <f t="shared" si="23"/>
        <v>90</v>
      </c>
      <c r="K329" s="5">
        <v>1.575</v>
      </c>
      <c r="L329" s="5">
        <v>136.72750000000002</v>
      </c>
      <c r="M329" s="5">
        <v>32.308999999999997</v>
      </c>
      <c r="N329" s="5">
        <v>2.2672499999999998</v>
      </c>
      <c r="O329" s="5">
        <f t="shared" si="24"/>
        <v>780</v>
      </c>
      <c r="P329" s="5">
        <f t="shared" si="25"/>
        <v>90</v>
      </c>
      <c r="R329" s="5">
        <v>19.675000000000001</v>
      </c>
      <c r="S329" s="5">
        <v>27.5075</v>
      </c>
      <c r="T329" s="5">
        <v>35.595333333333336</v>
      </c>
      <c r="U329" s="2">
        <v>0.410325</v>
      </c>
      <c r="V329" s="5">
        <v>78</v>
      </c>
      <c r="W329" s="5">
        <v>78</v>
      </c>
      <c r="AA329" s="2"/>
      <c r="AJ329" s="4"/>
      <c r="AR329" s="4"/>
    </row>
    <row r="330" spans="4:44">
      <c r="D330" s="5">
        <v>-23.1</v>
      </c>
      <c r="E330" s="5">
        <v>136.4</v>
      </c>
      <c r="F330" s="5">
        <f t="shared" si="21"/>
        <v>28.170333333333332</v>
      </c>
      <c r="G330" s="2">
        <v>5.2409999999999997</v>
      </c>
      <c r="H330" s="5">
        <f t="shared" si="22"/>
        <v>97.64262500000001</v>
      </c>
      <c r="I330" s="5">
        <f t="shared" si="23"/>
        <v>90</v>
      </c>
      <c r="K330" s="5">
        <v>1.7</v>
      </c>
      <c r="L330" s="5">
        <v>142.6</v>
      </c>
      <c r="M330" s="5">
        <v>32.308999999999997</v>
      </c>
      <c r="N330" s="5">
        <v>2.2719999999999998</v>
      </c>
      <c r="O330" s="5">
        <f t="shared" si="24"/>
        <v>780</v>
      </c>
      <c r="P330" s="5">
        <f t="shared" si="25"/>
        <v>90</v>
      </c>
      <c r="R330" s="5">
        <v>19.899999999999999</v>
      </c>
      <c r="S330" s="5">
        <v>26</v>
      </c>
      <c r="T330" s="5">
        <v>35.595333333333336</v>
      </c>
      <c r="U330" s="2">
        <v>0.41010000000000002</v>
      </c>
      <c r="V330" s="5">
        <v>78</v>
      </c>
      <c r="W330" s="5">
        <v>78</v>
      </c>
      <c r="AA330" s="2"/>
      <c r="AJ330" s="4"/>
      <c r="AR330" s="4"/>
    </row>
    <row r="331" spans="4:44">
      <c r="D331" s="5">
        <v>-22.2</v>
      </c>
      <c r="E331" s="5">
        <v>134.245</v>
      </c>
      <c r="F331" s="5">
        <f t="shared" si="21"/>
        <v>28.170333333333332</v>
      </c>
      <c r="G331" s="2">
        <v>5.1054999999999993</v>
      </c>
      <c r="H331" s="5">
        <f t="shared" si="22"/>
        <v>96.705500000000001</v>
      </c>
      <c r="I331" s="5">
        <f t="shared" si="23"/>
        <v>90</v>
      </c>
      <c r="K331" s="5">
        <v>1.925</v>
      </c>
      <c r="L331" s="5">
        <v>150.33250000000001</v>
      </c>
      <c r="M331" s="5">
        <v>32.308999999999997</v>
      </c>
      <c r="N331" s="5">
        <v>2.2134999999999998</v>
      </c>
      <c r="O331" s="5">
        <f t="shared" si="24"/>
        <v>780</v>
      </c>
      <c r="P331" s="5">
        <f t="shared" si="25"/>
        <v>90</v>
      </c>
      <c r="R331" s="5">
        <v>20.175000000000001</v>
      </c>
      <c r="S331" s="5">
        <v>21.099999999999998</v>
      </c>
      <c r="T331" s="5">
        <v>35.595333333333336</v>
      </c>
      <c r="U331" s="2">
        <v>0.40982499999999999</v>
      </c>
      <c r="V331" s="5">
        <v>78</v>
      </c>
      <c r="W331" s="5">
        <v>78</v>
      </c>
      <c r="AA331" s="2"/>
      <c r="AJ331" s="4"/>
      <c r="AR331" s="4"/>
    </row>
    <row r="332" spans="4:44">
      <c r="D332" s="5">
        <v>-21.3</v>
      </c>
      <c r="E332" s="5">
        <v>132.09</v>
      </c>
      <c r="F332" s="5">
        <f t="shared" si="21"/>
        <v>28.170333333333332</v>
      </c>
      <c r="G332" s="2">
        <v>4.97</v>
      </c>
      <c r="H332" s="5">
        <f t="shared" si="22"/>
        <v>95.788624999999996</v>
      </c>
      <c r="I332" s="5">
        <f t="shared" si="23"/>
        <v>90</v>
      </c>
      <c r="K332" s="5">
        <v>2.15</v>
      </c>
      <c r="L332" s="5">
        <v>158.065</v>
      </c>
      <c r="M332" s="5">
        <v>32.308999999999997</v>
      </c>
      <c r="N332" s="5">
        <v>2.1549999999999998</v>
      </c>
      <c r="O332" s="5">
        <f t="shared" si="24"/>
        <v>780</v>
      </c>
      <c r="P332" s="5">
        <f t="shared" si="25"/>
        <v>90</v>
      </c>
      <c r="R332" s="5">
        <v>20.45</v>
      </c>
      <c r="S332" s="5">
        <v>16.200000000000003</v>
      </c>
      <c r="T332" s="5">
        <v>35.595333333333336</v>
      </c>
      <c r="U332" s="2">
        <v>0.40954999999999997</v>
      </c>
      <c r="V332" s="5">
        <v>78</v>
      </c>
      <c r="W332" s="5">
        <v>78</v>
      </c>
      <c r="AA332" s="2"/>
      <c r="AJ332" s="4"/>
      <c r="AR332" s="4"/>
    </row>
    <row r="333" spans="4:44">
      <c r="D333" s="5">
        <v>-20.399999999999999</v>
      </c>
      <c r="E333" s="5">
        <v>129.935</v>
      </c>
      <c r="F333" s="5">
        <f t="shared" si="21"/>
        <v>28.170333333333332</v>
      </c>
      <c r="G333" s="2">
        <v>4.8345000000000002</v>
      </c>
      <c r="H333" s="5">
        <f t="shared" si="22"/>
        <v>94.891999999999996</v>
      </c>
      <c r="I333" s="5">
        <f t="shared" si="23"/>
        <v>90</v>
      </c>
      <c r="K333" s="5">
        <v>2.375</v>
      </c>
      <c r="L333" s="5">
        <v>165.79750000000001</v>
      </c>
      <c r="M333" s="5">
        <v>32.308999999999997</v>
      </c>
      <c r="N333" s="5">
        <v>2.0964999999999998</v>
      </c>
      <c r="O333" s="5">
        <f t="shared" si="24"/>
        <v>780</v>
      </c>
      <c r="P333" s="5">
        <f t="shared" si="25"/>
        <v>90</v>
      </c>
      <c r="R333" s="5">
        <v>20.725000000000001</v>
      </c>
      <c r="S333" s="5">
        <v>11.299999999999999</v>
      </c>
      <c r="T333" s="5">
        <v>35.595333333333336</v>
      </c>
      <c r="U333" s="2">
        <v>0.409275</v>
      </c>
      <c r="V333" s="5">
        <v>78</v>
      </c>
      <c r="W333" s="5">
        <v>78</v>
      </c>
      <c r="AA333" s="2"/>
      <c r="AJ333" s="4"/>
      <c r="AR333" s="4"/>
    </row>
    <row r="334" spans="4:44">
      <c r="D334" s="5">
        <v>-19.5</v>
      </c>
      <c r="E334" s="5">
        <v>127.78</v>
      </c>
      <c r="F334" s="5">
        <f t="shared" si="21"/>
        <v>28.170333333333332</v>
      </c>
      <c r="G334" s="2">
        <v>4.6989999999999998</v>
      </c>
      <c r="H334" s="5">
        <f t="shared" si="22"/>
        <v>94.015625</v>
      </c>
      <c r="I334" s="5">
        <f t="shared" si="23"/>
        <v>90</v>
      </c>
      <c r="K334" s="5">
        <v>2.6</v>
      </c>
      <c r="L334" s="5">
        <v>173.53000000000003</v>
      </c>
      <c r="M334" s="5">
        <v>32.308999999999997</v>
      </c>
      <c r="N334" s="5">
        <v>2.0379999999999998</v>
      </c>
      <c r="O334" s="5">
        <f t="shared" si="24"/>
        <v>780</v>
      </c>
      <c r="P334" s="5">
        <f t="shared" si="25"/>
        <v>90</v>
      </c>
      <c r="R334" s="5">
        <v>21</v>
      </c>
      <c r="S334" s="5">
        <v>6.4</v>
      </c>
      <c r="T334" s="5">
        <v>35.595333333333336</v>
      </c>
      <c r="U334" s="2">
        <v>0.40899999999999997</v>
      </c>
      <c r="V334" s="5">
        <v>78</v>
      </c>
      <c r="W334" s="5">
        <v>78</v>
      </c>
      <c r="AA334" s="2"/>
      <c r="AJ334" s="4"/>
      <c r="AR334" s="4"/>
    </row>
    <row r="335" spans="4:44">
      <c r="D335" s="5">
        <v>-19.024999999999999</v>
      </c>
      <c r="E335" s="5">
        <v>122.75</v>
      </c>
      <c r="F335" s="5">
        <f t="shared" si="21"/>
        <v>28.170333333333332</v>
      </c>
      <c r="G335" s="2">
        <v>4.5822500000000002</v>
      </c>
      <c r="H335" s="5">
        <f t="shared" si="22"/>
        <v>93.561257812500003</v>
      </c>
      <c r="I335" s="5">
        <f t="shared" si="23"/>
        <v>90</v>
      </c>
      <c r="K335" s="5">
        <v>2.7250000000000001</v>
      </c>
      <c r="L335" s="5">
        <v>192.9325</v>
      </c>
      <c r="M335" s="5">
        <v>32.308999999999997</v>
      </c>
      <c r="N335" s="5">
        <v>2.01675</v>
      </c>
      <c r="O335" s="5">
        <f t="shared" si="24"/>
        <v>780</v>
      </c>
      <c r="P335" s="5">
        <f t="shared" si="25"/>
        <v>90</v>
      </c>
      <c r="R335" s="5">
        <v>21.125</v>
      </c>
      <c r="S335" s="5">
        <v>4.8125</v>
      </c>
      <c r="T335" s="5">
        <v>35.595333333333336</v>
      </c>
      <c r="U335" s="2">
        <v>0.40887499999999999</v>
      </c>
      <c r="V335" s="5">
        <v>78</v>
      </c>
      <c r="W335" s="5">
        <v>78</v>
      </c>
      <c r="AA335" s="2"/>
      <c r="AJ335" s="4"/>
      <c r="AR335" s="4"/>
    </row>
    <row r="336" spans="4:44">
      <c r="D336" s="5">
        <v>-18.55</v>
      </c>
      <c r="E336" s="5">
        <v>117.72</v>
      </c>
      <c r="F336" s="5">
        <f t="shared" si="21"/>
        <v>28.170333333333332</v>
      </c>
      <c r="G336" s="2">
        <v>4.4654999999999996</v>
      </c>
      <c r="H336" s="5">
        <f t="shared" si="22"/>
        <v>93.112531250000004</v>
      </c>
      <c r="I336" s="5">
        <f t="shared" si="23"/>
        <v>90</v>
      </c>
      <c r="K336" s="5">
        <v>2.85</v>
      </c>
      <c r="L336" s="5">
        <v>212.33499999999998</v>
      </c>
      <c r="M336" s="5">
        <v>32.308999999999997</v>
      </c>
      <c r="N336" s="5">
        <v>1.9955000000000001</v>
      </c>
      <c r="O336" s="5">
        <f t="shared" si="24"/>
        <v>780</v>
      </c>
      <c r="P336" s="5">
        <f t="shared" si="25"/>
        <v>90</v>
      </c>
      <c r="R336" s="5">
        <v>21.25</v>
      </c>
      <c r="S336" s="5">
        <v>3.2250000000000001</v>
      </c>
      <c r="T336" s="5">
        <v>35.595333333333336</v>
      </c>
      <c r="U336" s="2">
        <v>0.40875</v>
      </c>
      <c r="V336" s="5">
        <v>78</v>
      </c>
      <c r="W336" s="5">
        <v>78</v>
      </c>
      <c r="AA336" s="2"/>
      <c r="AJ336" s="4"/>
      <c r="AR336" s="4"/>
    </row>
    <row r="337" spans="4:44">
      <c r="D337" s="5">
        <v>-18.074999999999999</v>
      </c>
      <c r="E337" s="5">
        <v>112.69</v>
      </c>
      <c r="F337" s="5">
        <f t="shared" si="21"/>
        <v>28.170333333333332</v>
      </c>
      <c r="G337" s="2">
        <v>4.3487499999999999</v>
      </c>
      <c r="H337" s="5">
        <f t="shared" si="22"/>
        <v>92.669445312500002</v>
      </c>
      <c r="I337" s="5">
        <f t="shared" si="23"/>
        <v>90</v>
      </c>
      <c r="K337" s="5">
        <v>2.9750000000000001</v>
      </c>
      <c r="L337" s="5">
        <v>231.73749999999998</v>
      </c>
      <c r="M337" s="5">
        <v>32.308999999999997</v>
      </c>
      <c r="N337" s="5">
        <v>1.9742500000000001</v>
      </c>
      <c r="O337" s="5">
        <f t="shared" si="24"/>
        <v>780</v>
      </c>
      <c r="P337" s="5">
        <f t="shared" si="25"/>
        <v>90</v>
      </c>
      <c r="R337" s="5">
        <v>21.375</v>
      </c>
      <c r="S337" s="5">
        <v>1.6375000000000002</v>
      </c>
      <c r="T337" s="5">
        <v>35.595333333333336</v>
      </c>
      <c r="U337" s="2">
        <v>0.40862500000000002</v>
      </c>
      <c r="V337" s="5">
        <v>78</v>
      </c>
      <c r="W337" s="5">
        <v>78</v>
      </c>
      <c r="AA337" s="2"/>
      <c r="AJ337" s="4"/>
      <c r="AR337" s="4"/>
    </row>
    <row r="338" spans="4:44">
      <c r="D338" s="5">
        <v>-17.600000000000001</v>
      </c>
      <c r="E338" s="5">
        <v>107.66</v>
      </c>
      <c r="F338" s="5">
        <f t="shared" si="21"/>
        <v>28.170333333333332</v>
      </c>
      <c r="G338" s="2">
        <v>4.2320000000000002</v>
      </c>
      <c r="H338" s="5">
        <f t="shared" si="22"/>
        <v>92.231999999999999</v>
      </c>
      <c r="I338" s="5">
        <f t="shared" si="23"/>
        <v>90</v>
      </c>
      <c r="K338" s="5">
        <v>3.1</v>
      </c>
      <c r="L338" s="5">
        <v>251.14000000000001</v>
      </c>
      <c r="M338" s="5">
        <v>32.308999999999997</v>
      </c>
      <c r="N338" s="5">
        <v>1.9530000000000001</v>
      </c>
      <c r="O338" s="5">
        <f t="shared" si="24"/>
        <v>780</v>
      </c>
      <c r="P338" s="5">
        <f t="shared" si="25"/>
        <v>90</v>
      </c>
      <c r="R338" s="5">
        <v>21.5</v>
      </c>
      <c r="S338" s="5">
        <v>0.05</v>
      </c>
      <c r="T338" s="5">
        <v>35.595333333333336</v>
      </c>
      <c r="U338" s="2">
        <v>0.40849999999999997</v>
      </c>
      <c r="V338" s="5">
        <v>78</v>
      </c>
      <c r="W338" s="5">
        <v>78</v>
      </c>
      <c r="AA338" s="2"/>
      <c r="AJ338" s="4"/>
      <c r="AR338" s="4"/>
    </row>
    <row r="339" spans="4:44">
      <c r="D339" s="5">
        <v>-17.3</v>
      </c>
      <c r="E339" s="5">
        <v>109.45</v>
      </c>
      <c r="F339" s="5">
        <f t="shared" si="21"/>
        <v>28.170333333333332</v>
      </c>
      <c r="G339" s="2">
        <v>4.2097499999999997</v>
      </c>
      <c r="H339" s="5">
        <f t="shared" si="22"/>
        <v>91.958624999999998</v>
      </c>
      <c r="I339" s="5">
        <f t="shared" si="23"/>
        <v>90</v>
      </c>
      <c r="K339" s="5">
        <v>3.2</v>
      </c>
      <c r="L339" s="5">
        <v>246.66250000000002</v>
      </c>
      <c r="M339" s="5">
        <v>32.308999999999997</v>
      </c>
      <c r="N339" s="5">
        <v>1.98475</v>
      </c>
      <c r="O339" s="5">
        <f t="shared" si="24"/>
        <v>780</v>
      </c>
      <c r="P339" s="5">
        <f t="shared" si="25"/>
        <v>90</v>
      </c>
      <c r="R339" s="5">
        <v>21.774999999999999</v>
      </c>
      <c r="S339" s="5">
        <v>3.5000000000000003E-2</v>
      </c>
      <c r="T339" s="5">
        <v>35.595333333333336</v>
      </c>
      <c r="U339" s="2">
        <v>0.408225</v>
      </c>
      <c r="V339" s="5">
        <v>78</v>
      </c>
      <c r="W339" s="5">
        <v>78</v>
      </c>
      <c r="AA339" s="2"/>
      <c r="AJ339" s="4"/>
      <c r="AR339" s="4"/>
    </row>
    <row r="340" spans="4:44">
      <c r="D340" s="5">
        <v>-17</v>
      </c>
      <c r="E340" s="5">
        <v>111.24000000000001</v>
      </c>
      <c r="F340" s="5">
        <f t="shared" si="21"/>
        <v>28.170333333333332</v>
      </c>
      <c r="G340" s="2">
        <v>4.1875</v>
      </c>
      <c r="H340" s="5">
        <f t="shared" si="22"/>
        <v>91.6875</v>
      </c>
      <c r="I340" s="5">
        <f t="shared" si="23"/>
        <v>90</v>
      </c>
      <c r="K340" s="5">
        <v>3.3</v>
      </c>
      <c r="L340" s="5">
        <v>242.185</v>
      </c>
      <c r="M340" s="5">
        <v>32.308999999999997</v>
      </c>
      <c r="N340" s="5">
        <v>2.0164999999999997</v>
      </c>
      <c r="O340" s="5">
        <f t="shared" si="24"/>
        <v>780</v>
      </c>
      <c r="P340" s="5">
        <f t="shared" si="25"/>
        <v>90</v>
      </c>
      <c r="R340" s="5">
        <v>22.05</v>
      </c>
      <c r="S340" s="5">
        <v>0.02</v>
      </c>
      <c r="T340" s="5">
        <v>35.595333333333336</v>
      </c>
      <c r="U340" s="2">
        <v>0.40794999999999998</v>
      </c>
      <c r="V340" s="5">
        <v>78</v>
      </c>
      <c r="W340" s="5">
        <v>78</v>
      </c>
      <c r="AA340" s="2"/>
      <c r="AJ340" s="4"/>
      <c r="AR340" s="4"/>
    </row>
    <row r="341" spans="4:44">
      <c r="D341" s="5">
        <v>-16.7</v>
      </c>
      <c r="E341" s="5">
        <v>113.03</v>
      </c>
      <c r="F341" s="5">
        <f t="shared" si="21"/>
        <v>28.170333333333332</v>
      </c>
      <c r="G341" s="2">
        <v>4.1652500000000003</v>
      </c>
      <c r="H341" s="5">
        <f t="shared" si="22"/>
        <v>91.418624999999992</v>
      </c>
      <c r="I341" s="5">
        <f t="shared" si="23"/>
        <v>90</v>
      </c>
      <c r="K341" s="5">
        <v>3.4</v>
      </c>
      <c r="L341" s="5">
        <v>237.70749999999998</v>
      </c>
      <c r="M341" s="5">
        <v>32.308999999999997</v>
      </c>
      <c r="N341" s="5">
        <v>2.0482499999999999</v>
      </c>
      <c r="O341" s="5">
        <f t="shared" si="24"/>
        <v>780</v>
      </c>
      <c r="P341" s="5">
        <f t="shared" si="25"/>
        <v>90</v>
      </c>
      <c r="R341" s="5">
        <v>22.324999999999999</v>
      </c>
      <c r="S341" s="5">
        <v>4.9999999999999958E-3</v>
      </c>
      <c r="T341" s="5">
        <v>35.595333333333336</v>
      </c>
      <c r="U341" s="2">
        <v>0.40767500000000001</v>
      </c>
      <c r="V341" s="5">
        <v>78</v>
      </c>
      <c r="W341" s="5">
        <v>78</v>
      </c>
      <c r="AA341" s="2"/>
      <c r="AJ341" s="4"/>
      <c r="AR341" s="4"/>
    </row>
    <row r="342" spans="4:44">
      <c r="D342" s="5">
        <v>-16.399999999999999</v>
      </c>
      <c r="E342" s="5">
        <v>114.82</v>
      </c>
      <c r="F342" s="5">
        <f t="shared" si="21"/>
        <v>28.170333333333332</v>
      </c>
      <c r="G342" s="2">
        <v>4.1429999999999998</v>
      </c>
      <c r="H342" s="5">
        <f t="shared" si="22"/>
        <v>91.152000000000001</v>
      </c>
      <c r="I342" s="5">
        <f t="shared" si="23"/>
        <v>90</v>
      </c>
      <c r="K342" s="5">
        <v>3.5</v>
      </c>
      <c r="L342" s="5">
        <v>233.23000000000002</v>
      </c>
      <c r="M342" s="5">
        <v>32.308999999999997</v>
      </c>
      <c r="N342" s="5">
        <v>2.08</v>
      </c>
      <c r="O342" s="5">
        <f t="shared" si="24"/>
        <v>780</v>
      </c>
      <c r="P342" s="5">
        <f t="shared" si="25"/>
        <v>90</v>
      </c>
      <c r="R342" s="5">
        <v>22.6</v>
      </c>
      <c r="S342" s="5">
        <v>-0.01</v>
      </c>
      <c r="T342" s="5">
        <v>35.595333333333336</v>
      </c>
      <c r="U342" s="2">
        <v>0.40739999999999998</v>
      </c>
      <c r="V342" s="5">
        <v>78</v>
      </c>
      <c r="W342" s="5">
        <v>78</v>
      </c>
      <c r="AA342" s="2"/>
      <c r="AJ342" s="4"/>
      <c r="AR342" s="4"/>
    </row>
    <row r="343" spans="4:44">
      <c r="D343" s="5">
        <v>-16.074999999999999</v>
      </c>
      <c r="E343" s="5">
        <v>115.5675</v>
      </c>
      <c r="F343" s="5">
        <f t="shared" si="21"/>
        <v>28.170333333333332</v>
      </c>
      <c r="G343" s="2">
        <v>4.0839999999999996</v>
      </c>
      <c r="H343" s="5">
        <f t="shared" si="22"/>
        <v>90.865695312499994</v>
      </c>
      <c r="I343" s="5">
        <f t="shared" si="23"/>
        <v>90</v>
      </c>
      <c r="K343" s="5">
        <v>3.55</v>
      </c>
      <c r="L343" s="5">
        <v>196.23249999999999</v>
      </c>
      <c r="M343" s="5">
        <v>32.308999999999997</v>
      </c>
      <c r="N343" s="5">
        <v>2.0852499999999998</v>
      </c>
      <c r="O343" s="5">
        <f t="shared" si="24"/>
        <v>780</v>
      </c>
      <c r="P343" s="5">
        <f t="shared" si="25"/>
        <v>90</v>
      </c>
      <c r="R343" s="5">
        <v>22.774999999999999</v>
      </c>
      <c r="S343" s="5">
        <v>-0.22499999999999998</v>
      </c>
      <c r="T343" s="5">
        <v>35.595333333333336</v>
      </c>
      <c r="U343" s="2">
        <v>0.407225</v>
      </c>
      <c r="V343" s="5">
        <v>78</v>
      </c>
      <c r="W343" s="5">
        <v>78</v>
      </c>
      <c r="AA343" s="2"/>
      <c r="AJ343" s="4"/>
      <c r="AR343" s="4"/>
    </row>
    <row r="344" spans="4:44">
      <c r="D344" s="5">
        <v>-15.75</v>
      </c>
      <c r="E344" s="5">
        <v>116.31500000000001</v>
      </c>
      <c r="F344" s="5">
        <f t="shared" si="21"/>
        <v>28.170333333333332</v>
      </c>
      <c r="G344" s="2">
        <v>4.0249999999999995</v>
      </c>
      <c r="H344" s="5">
        <f t="shared" si="22"/>
        <v>90.58203125</v>
      </c>
      <c r="I344" s="5">
        <f t="shared" si="23"/>
        <v>90</v>
      </c>
      <c r="K344" s="5">
        <v>3.6</v>
      </c>
      <c r="L344" s="5">
        <v>159.23500000000001</v>
      </c>
      <c r="M344" s="5">
        <v>32.308999999999997</v>
      </c>
      <c r="N344" s="5">
        <v>2.0905</v>
      </c>
      <c r="O344" s="5">
        <f t="shared" si="24"/>
        <v>780</v>
      </c>
      <c r="P344" s="5">
        <f t="shared" si="25"/>
        <v>90</v>
      </c>
      <c r="R344" s="5">
        <v>22.95</v>
      </c>
      <c r="S344" s="5">
        <v>-0.43999999999999995</v>
      </c>
      <c r="T344" s="5">
        <v>35.595333333333336</v>
      </c>
      <c r="U344" s="2">
        <v>0.40705000000000002</v>
      </c>
      <c r="V344" s="5">
        <v>78</v>
      </c>
      <c r="W344" s="5">
        <v>78</v>
      </c>
      <c r="AA344" s="2"/>
      <c r="AJ344" s="4"/>
      <c r="AR344" s="4"/>
    </row>
    <row r="345" spans="4:44">
      <c r="D345" s="5">
        <v>-15.425000000000001</v>
      </c>
      <c r="E345" s="5">
        <v>117.0625</v>
      </c>
      <c r="F345" s="5">
        <f t="shared" si="21"/>
        <v>28.170333333333332</v>
      </c>
      <c r="G345" s="2">
        <v>3.9660000000000002</v>
      </c>
      <c r="H345" s="5">
        <f t="shared" si="22"/>
        <v>90.301007812500004</v>
      </c>
      <c r="I345" s="5">
        <f t="shared" si="23"/>
        <v>90</v>
      </c>
      <c r="K345" s="5">
        <v>3.65</v>
      </c>
      <c r="L345" s="5">
        <v>122.23750000000001</v>
      </c>
      <c r="M345" s="5">
        <v>32.308999999999997</v>
      </c>
      <c r="N345" s="5">
        <v>2.0957499999999998</v>
      </c>
      <c r="O345" s="5">
        <f t="shared" si="24"/>
        <v>780</v>
      </c>
      <c r="P345" s="5">
        <f t="shared" si="25"/>
        <v>90</v>
      </c>
      <c r="R345" s="5">
        <v>23.125</v>
      </c>
      <c r="S345" s="5">
        <v>-0.65500000000000003</v>
      </c>
      <c r="T345" s="5">
        <v>35.595333333333336</v>
      </c>
      <c r="U345" s="2">
        <v>0.40687499999999999</v>
      </c>
      <c r="V345" s="5">
        <v>78</v>
      </c>
      <c r="W345" s="5">
        <v>78</v>
      </c>
      <c r="AA345" s="2"/>
      <c r="AJ345" s="4"/>
      <c r="AR345" s="4"/>
    </row>
    <row r="346" spans="4:44">
      <c r="D346" s="5">
        <v>-15.1</v>
      </c>
      <c r="E346" s="5">
        <v>117.81</v>
      </c>
      <c r="F346" s="5">
        <f t="shared" si="21"/>
        <v>28.170333333333332</v>
      </c>
      <c r="G346" s="2">
        <v>3.907</v>
      </c>
      <c r="H346" s="5">
        <f t="shared" si="22"/>
        <v>90.022625000000005</v>
      </c>
      <c r="I346" s="5">
        <f t="shared" si="23"/>
        <v>90</v>
      </c>
      <c r="K346" s="5">
        <v>3.7</v>
      </c>
      <c r="L346" s="5">
        <v>85.24</v>
      </c>
      <c r="M346" s="5">
        <v>32.308999999999997</v>
      </c>
      <c r="N346" s="5">
        <v>2.101</v>
      </c>
      <c r="O346" s="5">
        <f t="shared" si="24"/>
        <v>780</v>
      </c>
      <c r="P346" s="5">
        <f t="shared" si="25"/>
        <v>90</v>
      </c>
      <c r="R346" s="5">
        <v>23.3</v>
      </c>
      <c r="S346" s="5">
        <v>-0.86999999999999988</v>
      </c>
      <c r="T346" s="5">
        <v>35.595333333333336</v>
      </c>
      <c r="U346" s="2">
        <v>0.40670000000000001</v>
      </c>
      <c r="V346" s="5">
        <v>78</v>
      </c>
      <c r="W346" s="5">
        <v>78</v>
      </c>
      <c r="AA346" s="2"/>
      <c r="AJ346" s="4"/>
      <c r="AR346" s="4"/>
    </row>
    <row r="347" spans="4:44">
      <c r="D347" s="5">
        <v>-14.725</v>
      </c>
      <c r="E347" s="5">
        <v>119.07</v>
      </c>
      <c r="F347" s="5">
        <f t="shared" si="21"/>
        <v>28.170333333333332</v>
      </c>
      <c r="G347" s="2">
        <v>3.9250000000000003</v>
      </c>
      <c r="H347" s="5">
        <f t="shared" si="22"/>
        <v>89.704695312500007</v>
      </c>
      <c r="I347" s="5">
        <f t="shared" si="23"/>
        <v>89.704695312500007</v>
      </c>
      <c r="K347" s="5">
        <v>3.85</v>
      </c>
      <c r="L347" s="5">
        <v>84.194999999999993</v>
      </c>
      <c r="M347" s="5">
        <v>32.308999999999997</v>
      </c>
      <c r="N347" s="5">
        <v>2.0764999999999998</v>
      </c>
      <c r="O347" s="5">
        <f t="shared" si="24"/>
        <v>780</v>
      </c>
      <c r="P347" s="5">
        <f t="shared" si="25"/>
        <v>90</v>
      </c>
      <c r="R347" s="5">
        <v>23.45</v>
      </c>
      <c r="S347" s="5">
        <v>-0.85499999999999998</v>
      </c>
      <c r="T347" s="5">
        <v>35.595333333333336</v>
      </c>
      <c r="U347" s="2">
        <v>0.40654999999999997</v>
      </c>
      <c r="V347" s="5">
        <v>78</v>
      </c>
      <c r="W347" s="5">
        <v>78</v>
      </c>
      <c r="AA347" s="2"/>
      <c r="AJ347" s="4"/>
      <c r="AR347" s="4"/>
    </row>
    <row r="348" spans="4:44">
      <c r="D348" s="5">
        <v>-14.35</v>
      </c>
      <c r="E348" s="5">
        <v>120.33</v>
      </c>
      <c r="F348" s="5">
        <f t="shared" si="21"/>
        <v>28.170333333333332</v>
      </c>
      <c r="G348" s="2">
        <v>3.9430000000000001</v>
      </c>
      <c r="H348" s="5">
        <f t="shared" si="22"/>
        <v>89.390281250000001</v>
      </c>
      <c r="I348" s="5">
        <f t="shared" si="23"/>
        <v>89.390281250000001</v>
      </c>
      <c r="K348" s="5">
        <v>4</v>
      </c>
      <c r="L348" s="5">
        <v>83.149999999999991</v>
      </c>
      <c r="M348" s="5">
        <v>32.308999999999997</v>
      </c>
      <c r="N348" s="5">
        <v>2.052</v>
      </c>
      <c r="O348" s="5">
        <f t="shared" si="24"/>
        <v>780</v>
      </c>
      <c r="P348" s="5">
        <f t="shared" si="25"/>
        <v>90</v>
      </c>
      <c r="R348" s="5">
        <v>23.6</v>
      </c>
      <c r="S348" s="5">
        <v>-0.83999999999999986</v>
      </c>
      <c r="T348" s="5">
        <v>35.595333333333336</v>
      </c>
      <c r="U348" s="2">
        <v>0.40639999999999998</v>
      </c>
      <c r="V348" s="5">
        <v>78</v>
      </c>
      <c r="W348" s="5">
        <v>78</v>
      </c>
      <c r="AA348" s="2"/>
      <c r="AJ348" s="4"/>
      <c r="AR348" s="4"/>
    </row>
    <row r="349" spans="4:44">
      <c r="D349" s="5">
        <v>-13.975</v>
      </c>
      <c r="E349" s="5">
        <v>121.59</v>
      </c>
      <c r="F349" s="5">
        <f t="shared" si="21"/>
        <v>28.170333333333332</v>
      </c>
      <c r="G349" s="2">
        <v>3.9609999999999999</v>
      </c>
      <c r="H349" s="5">
        <f t="shared" si="22"/>
        <v>89.0793828125</v>
      </c>
      <c r="I349" s="5">
        <f t="shared" si="23"/>
        <v>89.0793828125</v>
      </c>
      <c r="K349" s="5">
        <v>4.1500000000000004</v>
      </c>
      <c r="L349" s="5">
        <v>82.10499999999999</v>
      </c>
      <c r="M349" s="5">
        <v>32.308999999999997</v>
      </c>
      <c r="N349" s="5">
        <v>2.0274999999999999</v>
      </c>
      <c r="O349" s="5">
        <f t="shared" si="24"/>
        <v>780</v>
      </c>
      <c r="P349" s="5">
        <f t="shared" si="25"/>
        <v>90</v>
      </c>
      <c r="R349" s="5">
        <v>23.75</v>
      </c>
      <c r="S349" s="5">
        <v>-0.82500000000000007</v>
      </c>
      <c r="T349" s="5">
        <v>35.595333333333336</v>
      </c>
      <c r="U349" s="2">
        <v>0.40625</v>
      </c>
      <c r="V349" s="5">
        <v>78</v>
      </c>
      <c r="W349" s="5">
        <v>78</v>
      </c>
      <c r="AA349" s="2"/>
      <c r="AJ349" s="4"/>
      <c r="AR349" s="4"/>
    </row>
    <row r="350" spans="4:44">
      <c r="D350" s="5">
        <v>-13.6</v>
      </c>
      <c r="E350" s="5">
        <v>122.85</v>
      </c>
      <c r="F350" s="5">
        <f t="shared" si="21"/>
        <v>28.170333333333332</v>
      </c>
      <c r="G350" s="2">
        <v>3.9790000000000001</v>
      </c>
      <c r="H350" s="5">
        <f t="shared" si="22"/>
        <v>88.772000000000006</v>
      </c>
      <c r="I350" s="5">
        <f t="shared" si="23"/>
        <v>88.772000000000006</v>
      </c>
      <c r="K350" s="5">
        <v>4.3</v>
      </c>
      <c r="L350" s="5">
        <v>81.06</v>
      </c>
      <c r="M350" s="5">
        <v>32.308999999999997</v>
      </c>
      <c r="N350" s="5">
        <v>2.0030000000000001</v>
      </c>
      <c r="O350" s="5">
        <f t="shared" si="24"/>
        <v>780</v>
      </c>
      <c r="P350" s="5">
        <f t="shared" si="25"/>
        <v>90</v>
      </c>
      <c r="R350" s="5">
        <v>23.9</v>
      </c>
      <c r="S350" s="5">
        <v>-0.81</v>
      </c>
      <c r="T350" s="5">
        <v>35.595333333333336</v>
      </c>
      <c r="U350" s="2">
        <v>0.40610000000000002</v>
      </c>
      <c r="V350" s="5">
        <v>78</v>
      </c>
      <c r="W350" s="5">
        <v>78</v>
      </c>
      <c r="AA350" s="2"/>
      <c r="AJ350" s="4"/>
      <c r="AR350" s="4"/>
    </row>
    <row r="351" spans="4:44">
      <c r="D351" s="5">
        <v>-13.525</v>
      </c>
      <c r="E351" s="5">
        <v>126.24000000000001</v>
      </c>
      <c r="F351" s="5">
        <f t="shared" si="21"/>
        <v>28.170333333333332</v>
      </c>
      <c r="G351" s="2">
        <v>3.9747500000000002</v>
      </c>
      <c r="H351" s="5">
        <f t="shared" si="22"/>
        <v>88.710945312500002</v>
      </c>
      <c r="I351" s="5">
        <f t="shared" si="23"/>
        <v>88.710945312500002</v>
      </c>
      <c r="K351" s="5">
        <v>4.375</v>
      </c>
      <c r="L351" s="5">
        <v>82.47</v>
      </c>
      <c r="M351" s="5">
        <v>32.308999999999997</v>
      </c>
      <c r="N351" s="5">
        <v>2.0092499999999998</v>
      </c>
      <c r="O351" s="5">
        <f t="shared" si="24"/>
        <v>780</v>
      </c>
      <c r="P351" s="5">
        <f t="shared" si="25"/>
        <v>90</v>
      </c>
      <c r="R351" s="5">
        <v>24.05</v>
      </c>
      <c r="S351" s="5">
        <v>-0.62250000000000005</v>
      </c>
      <c r="T351" s="5">
        <v>35.595333333333336</v>
      </c>
      <c r="U351" s="2">
        <v>0.40594999999999998</v>
      </c>
      <c r="V351" s="5">
        <v>78</v>
      </c>
      <c r="W351" s="5">
        <v>78</v>
      </c>
      <c r="AA351" s="2"/>
      <c r="AJ351" s="4"/>
      <c r="AR351" s="4"/>
    </row>
    <row r="352" spans="4:44">
      <c r="D352" s="5">
        <v>-13.45</v>
      </c>
      <c r="E352" s="5">
        <v>129.63</v>
      </c>
      <c r="F352" s="5">
        <f t="shared" si="21"/>
        <v>28.170333333333332</v>
      </c>
      <c r="G352" s="2">
        <v>3.9704999999999999</v>
      </c>
      <c r="H352" s="5">
        <f t="shared" si="22"/>
        <v>88.650031249999998</v>
      </c>
      <c r="I352" s="5">
        <f t="shared" si="23"/>
        <v>88.650031249999998</v>
      </c>
      <c r="K352" s="5">
        <v>4.4499999999999993</v>
      </c>
      <c r="L352" s="5">
        <v>83.88</v>
      </c>
      <c r="M352" s="5">
        <v>32.308999999999997</v>
      </c>
      <c r="N352" s="5">
        <v>2.0154999999999998</v>
      </c>
      <c r="O352" s="5">
        <f t="shared" si="24"/>
        <v>780</v>
      </c>
      <c r="P352" s="5">
        <f t="shared" si="25"/>
        <v>90</v>
      </c>
      <c r="R352" s="5">
        <v>24.2</v>
      </c>
      <c r="S352" s="5">
        <v>-0.43499999999999994</v>
      </c>
      <c r="T352" s="5">
        <v>35.595333333333336</v>
      </c>
      <c r="U352" s="2">
        <v>0.40579999999999999</v>
      </c>
      <c r="V352" s="5">
        <v>78</v>
      </c>
      <c r="W352" s="5">
        <v>78</v>
      </c>
      <c r="AA352" s="2"/>
      <c r="AJ352" s="4"/>
      <c r="AR352" s="4"/>
    </row>
    <row r="353" spans="4:44">
      <c r="D353" s="5">
        <v>-13.375</v>
      </c>
      <c r="E353" s="5">
        <v>133.01999999999998</v>
      </c>
      <c r="F353" s="5">
        <f t="shared" si="21"/>
        <v>28.170333333333332</v>
      </c>
      <c r="G353" s="2">
        <v>3.9662500000000001</v>
      </c>
      <c r="H353" s="5">
        <f t="shared" si="22"/>
        <v>88.589257812499994</v>
      </c>
      <c r="I353" s="5">
        <f t="shared" si="23"/>
        <v>88.589257812499994</v>
      </c>
      <c r="K353" s="5">
        <v>4.5249999999999986</v>
      </c>
      <c r="L353" s="5">
        <v>85.289999999999992</v>
      </c>
      <c r="M353" s="5">
        <v>32.308999999999997</v>
      </c>
      <c r="N353" s="5">
        <v>2.0217499999999999</v>
      </c>
      <c r="O353" s="5">
        <f t="shared" si="24"/>
        <v>780</v>
      </c>
      <c r="P353" s="5">
        <f t="shared" si="25"/>
        <v>90</v>
      </c>
      <c r="R353" s="5">
        <v>24.35</v>
      </c>
      <c r="S353" s="5">
        <v>-0.24750000000000011</v>
      </c>
      <c r="T353" s="5">
        <v>35.595333333333336</v>
      </c>
      <c r="U353" s="2">
        <v>0.40565000000000001</v>
      </c>
      <c r="V353" s="5">
        <v>78</v>
      </c>
      <c r="W353" s="5">
        <v>78</v>
      </c>
      <c r="AA353" s="2"/>
      <c r="AJ353" s="4"/>
      <c r="AR353" s="4"/>
    </row>
    <row r="354" spans="4:44">
      <c r="D354" s="5">
        <v>-13.3</v>
      </c>
      <c r="E354" s="5">
        <v>136.41</v>
      </c>
      <c r="F354" s="5">
        <f t="shared" ref="F354:F385" si="26">$F$289-($F$289-$F$482)/3</f>
        <v>28.170333333333332</v>
      </c>
      <c r="G354" s="2">
        <v>3.9620000000000002</v>
      </c>
      <c r="H354" s="5">
        <f t="shared" si="22"/>
        <v>88.528625000000005</v>
      </c>
      <c r="I354" s="5">
        <f t="shared" si="23"/>
        <v>88.528625000000005</v>
      </c>
      <c r="K354" s="5">
        <v>4.5999999999999996</v>
      </c>
      <c r="L354" s="5">
        <v>86.7</v>
      </c>
      <c r="M354" s="5">
        <v>32.308999999999997</v>
      </c>
      <c r="N354" s="5">
        <v>2.028</v>
      </c>
      <c r="O354" s="5">
        <f t="shared" si="24"/>
        <v>780</v>
      </c>
      <c r="P354" s="5">
        <f t="shared" si="25"/>
        <v>90</v>
      </c>
      <c r="R354" s="5">
        <v>24.5</v>
      </c>
      <c r="S354" s="5">
        <v>-0.06</v>
      </c>
      <c r="T354" s="5">
        <v>35.595333333333336</v>
      </c>
      <c r="U354" s="2">
        <v>0.40549999999999997</v>
      </c>
      <c r="V354" s="5">
        <v>78</v>
      </c>
      <c r="W354" s="5">
        <v>78</v>
      </c>
      <c r="AA354" s="2"/>
      <c r="AJ354" s="4"/>
      <c r="AR354" s="4"/>
    </row>
    <row r="355" spans="4:44">
      <c r="D355" s="5">
        <v>-13.7</v>
      </c>
      <c r="E355" s="5">
        <v>142.60999999999999</v>
      </c>
      <c r="F355" s="5">
        <f t="shared" si="26"/>
        <v>28.170333333333332</v>
      </c>
      <c r="G355" s="2">
        <v>3.9735</v>
      </c>
      <c r="H355" s="5">
        <f t="shared" si="22"/>
        <v>88.853624999999994</v>
      </c>
      <c r="I355" s="5">
        <f t="shared" si="23"/>
        <v>88.853624999999994</v>
      </c>
      <c r="K355" s="5">
        <v>4.625</v>
      </c>
      <c r="L355" s="5">
        <v>87.252499999999998</v>
      </c>
      <c r="M355" s="5">
        <v>32.308999999999997</v>
      </c>
      <c r="N355" s="5">
        <v>1.99475</v>
      </c>
      <c r="O355" s="5">
        <f t="shared" si="24"/>
        <v>780</v>
      </c>
      <c r="P355" s="5">
        <f t="shared" si="25"/>
        <v>90</v>
      </c>
      <c r="R355" s="5">
        <v>24.524999999999999</v>
      </c>
      <c r="S355" s="5">
        <v>0.42500000000000004</v>
      </c>
      <c r="T355" s="5">
        <v>35.595333333333336</v>
      </c>
      <c r="U355" s="2">
        <v>0.40547499999999997</v>
      </c>
      <c r="V355" s="5">
        <v>78</v>
      </c>
      <c r="W355" s="5">
        <v>78</v>
      </c>
      <c r="AA355" s="2"/>
      <c r="AJ355" s="4"/>
      <c r="AR355" s="4"/>
    </row>
    <row r="356" spans="4:44">
      <c r="D356" s="5">
        <v>-14.1</v>
      </c>
      <c r="E356" s="5">
        <v>148.81</v>
      </c>
      <c r="F356" s="5">
        <f t="shared" si="26"/>
        <v>28.170333333333332</v>
      </c>
      <c r="G356" s="2">
        <v>3.9849999999999999</v>
      </c>
      <c r="H356" s="5">
        <f t="shared" si="22"/>
        <v>89.182625000000002</v>
      </c>
      <c r="I356" s="5">
        <f t="shared" si="23"/>
        <v>89.182625000000002</v>
      </c>
      <c r="K356" s="5">
        <v>4.6500000000000004</v>
      </c>
      <c r="L356" s="5">
        <v>87.805000000000007</v>
      </c>
      <c r="M356" s="5">
        <v>32.308999999999997</v>
      </c>
      <c r="N356" s="5">
        <v>1.9615</v>
      </c>
      <c r="O356" s="5">
        <f t="shared" si="24"/>
        <v>780</v>
      </c>
      <c r="P356" s="5">
        <f t="shared" si="25"/>
        <v>90</v>
      </c>
      <c r="R356" s="5">
        <v>24.55</v>
      </c>
      <c r="S356" s="5">
        <v>0.90999999999999992</v>
      </c>
      <c r="T356" s="5">
        <v>35.595333333333336</v>
      </c>
      <c r="U356" s="2">
        <v>0.40544999999999998</v>
      </c>
      <c r="V356" s="5">
        <v>78</v>
      </c>
      <c r="W356" s="5">
        <v>78</v>
      </c>
      <c r="AA356" s="2"/>
      <c r="AJ356" s="4"/>
      <c r="AR356" s="4"/>
    </row>
    <row r="357" spans="4:44">
      <c r="D357" s="5">
        <v>-14.5</v>
      </c>
      <c r="E357" s="5">
        <v>155.01</v>
      </c>
      <c r="F357" s="5">
        <f t="shared" si="26"/>
        <v>28.170333333333332</v>
      </c>
      <c r="G357" s="2">
        <v>3.9965000000000002</v>
      </c>
      <c r="H357" s="5">
        <f t="shared" si="22"/>
        <v>89.515625</v>
      </c>
      <c r="I357" s="5">
        <f t="shared" si="23"/>
        <v>89.515625</v>
      </c>
      <c r="K357" s="5">
        <v>4.6749999999999998</v>
      </c>
      <c r="L357" s="5">
        <v>88.357500000000016</v>
      </c>
      <c r="M357" s="5">
        <v>32.308999999999997</v>
      </c>
      <c r="N357" s="5">
        <v>1.92825</v>
      </c>
      <c r="O357" s="5">
        <f t="shared" si="24"/>
        <v>780</v>
      </c>
      <c r="P357" s="5">
        <f t="shared" si="25"/>
        <v>90</v>
      </c>
      <c r="R357" s="5">
        <v>24.574999999999999</v>
      </c>
      <c r="S357" s="5">
        <v>1.395</v>
      </c>
      <c r="T357" s="5">
        <v>35.595333333333336</v>
      </c>
      <c r="U357" s="2">
        <v>0.40542499999999998</v>
      </c>
      <c r="V357" s="5">
        <v>78</v>
      </c>
      <c r="W357" s="5">
        <v>78</v>
      </c>
      <c r="AA357" s="2"/>
      <c r="AJ357" s="4"/>
      <c r="AR357" s="4"/>
    </row>
    <row r="358" spans="4:44">
      <c r="D358" s="5">
        <v>-14.9</v>
      </c>
      <c r="E358" s="5">
        <v>161.20999999999998</v>
      </c>
      <c r="F358" s="5">
        <f t="shared" si="26"/>
        <v>28.170333333333332</v>
      </c>
      <c r="G358" s="2">
        <v>4.008</v>
      </c>
      <c r="H358" s="5">
        <f t="shared" si="22"/>
        <v>89.852625000000003</v>
      </c>
      <c r="I358" s="5">
        <f t="shared" si="23"/>
        <v>89.852625000000003</v>
      </c>
      <c r="K358" s="5">
        <v>4.7</v>
      </c>
      <c r="L358" s="5">
        <v>88.91</v>
      </c>
      <c r="M358" s="5">
        <v>32.308999999999997</v>
      </c>
      <c r="N358" s="5">
        <v>1.895</v>
      </c>
      <c r="O358" s="5">
        <f t="shared" si="24"/>
        <v>780</v>
      </c>
      <c r="P358" s="5">
        <f t="shared" si="25"/>
        <v>90</v>
      </c>
      <c r="R358" s="5">
        <v>24.6</v>
      </c>
      <c r="S358" s="5">
        <v>1.88</v>
      </c>
      <c r="T358" s="5">
        <v>35.595333333333336</v>
      </c>
      <c r="U358" s="2">
        <v>0.40539999999999998</v>
      </c>
      <c r="V358" s="5">
        <v>78</v>
      </c>
      <c r="W358" s="5">
        <v>78</v>
      </c>
      <c r="AA358" s="2"/>
      <c r="AJ358" s="4"/>
      <c r="AR358" s="4"/>
    </row>
    <row r="359" spans="4:44">
      <c r="D359" s="5">
        <v>-15.65</v>
      </c>
      <c r="E359" s="5">
        <v>168.95499999999998</v>
      </c>
      <c r="F359" s="5">
        <f t="shared" si="26"/>
        <v>28.170333333333332</v>
      </c>
      <c r="G359" s="2">
        <v>4.0869999999999997</v>
      </c>
      <c r="H359" s="5">
        <f t="shared" si="22"/>
        <v>90.495281250000005</v>
      </c>
      <c r="I359" s="5">
        <f t="shared" si="23"/>
        <v>90</v>
      </c>
      <c r="K359" s="5">
        <v>4.75</v>
      </c>
      <c r="L359" s="5">
        <v>91.64</v>
      </c>
      <c r="M359" s="5">
        <v>32.308999999999997</v>
      </c>
      <c r="N359" s="5">
        <v>1.9139999999999999</v>
      </c>
      <c r="O359" s="5">
        <f t="shared" si="24"/>
        <v>780</v>
      </c>
      <c r="P359" s="5">
        <f t="shared" si="25"/>
        <v>90</v>
      </c>
      <c r="R359" s="5">
        <v>24.6</v>
      </c>
      <c r="S359" s="5">
        <v>3.37</v>
      </c>
      <c r="T359" s="5">
        <v>35.595333333333336</v>
      </c>
      <c r="U359" s="2">
        <v>0.40539999999999998</v>
      </c>
      <c r="V359" s="5">
        <v>78</v>
      </c>
      <c r="W359" s="5">
        <v>78</v>
      </c>
      <c r="AA359" s="2"/>
      <c r="AJ359" s="4"/>
      <c r="AR359" s="4"/>
    </row>
    <row r="360" spans="4:44">
      <c r="D360" s="5">
        <v>-16.399999999999999</v>
      </c>
      <c r="E360" s="5">
        <v>176.70000000000002</v>
      </c>
      <c r="F360" s="5">
        <f t="shared" si="26"/>
        <v>28.170333333333332</v>
      </c>
      <c r="G360" s="2">
        <v>4.1659999999999995</v>
      </c>
      <c r="H360" s="5">
        <f t="shared" si="22"/>
        <v>91.152000000000001</v>
      </c>
      <c r="I360" s="5">
        <f t="shared" si="23"/>
        <v>90</v>
      </c>
      <c r="K360" s="5">
        <v>4.8000000000000007</v>
      </c>
      <c r="L360" s="5">
        <v>94.37</v>
      </c>
      <c r="M360" s="5">
        <v>32.308999999999997</v>
      </c>
      <c r="N360" s="5">
        <v>1.9330000000000001</v>
      </c>
      <c r="O360" s="5">
        <f t="shared" si="24"/>
        <v>780</v>
      </c>
      <c r="P360" s="5">
        <f t="shared" si="25"/>
        <v>90</v>
      </c>
      <c r="R360" s="5">
        <v>24.6</v>
      </c>
      <c r="S360" s="5">
        <v>4.8599999999999994</v>
      </c>
      <c r="T360" s="5">
        <v>35.595333333333336</v>
      </c>
      <c r="U360" s="2">
        <v>0.40539999999999998</v>
      </c>
      <c r="V360" s="5">
        <v>78</v>
      </c>
      <c r="W360" s="5">
        <v>78</v>
      </c>
      <c r="AA360" s="2"/>
      <c r="AJ360" s="4"/>
      <c r="AR360" s="4"/>
    </row>
    <row r="361" spans="4:44">
      <c r="D361" s="5">
        <v>-17.149999999999999</v>
      </c>
      <c r="E361" s="5">
        <v>184.44500000000002</v>
      </c>
      <c r="F361" s="5">
        <f t="shared" si="26"/>
        <v>28.170333333333332</v>
      </c>
      <c r="G361" s="2">
        <v>4.2450000000000001</v>
      </c>
      <c r="H361" s="5">
        <f t="shared" si="22"/>
        <v>91.822781249999991</v>
      </c>
      <c r="I361" s="5">
        <f t="shared" si="23"/>
        <v>90</v>
      </c>
      <c r="K361" s="5">
        <v>4.8500000000000014</v>
      </c>
      <c r="L361" s="5">
        <v>97.100000000000009</v>
      </c>
      <c r="M361" s="5">
        <v>32.308999999999997</v>
      </c>
      <c r="N361" s="5">
        <v>1.9520000000000002</v>
      </c>
      <c r="O361" s="5">
        <f t="shared" si="24"/>
        <v>780</v>
      </c>
      <c r="P361" s="5">
        <f t="shared" si="25"/>
        <v>90</v>
      </c>
      <c r="R361" s="5">
        <v>24.6</v>
      </c>
      <c r="S361" s="5">
        <v>6.35</v>
      </c>
      <c r="T361" s="5">
        <v>35.595333333333336</v>
      </c>
      <c r="U361" s="2">
        <v>0.40539999999999998</v>
      </c>
      <c r="V361" s="5">
        <v>78</v>
      </c>
      <c r="W361" s="5">
        <v>78</v>
      </c>
      <c r="AA361" s="2"/>
      <c r="AJ361" s="4"/>
      <c r="AR361" s="4"/>
    </row>
    <row r="362" spans="4:44">
      <c r="D362" s="5">
        <v>-17.899999999999999</v>
      </c>
      <c r="E362" s="5">
        <v>192.19</v>
      </c>
      <c r="F362" s="5">
        <f t="shared" si="26"/>
        <v>28.170333333333332</v>
      </c>
      <c r="G362" s="2">
        <v>4.3239999999999998</v>
      </c>
      <c r="H362" s="5">
        <f t="shared" si="22"/>
        <v>92.507625000000004</v>
      </c>
      <c r="I362" s="5">
        <f t="shared" si="23"/>
        <v>90</v>
      </c>
      <c r="K362" s="5">
        <v>4.9000000000000004</v>
      </c>
      <c r="L362" s="5">
        <v>99.830000000000013</v>
      </c>
      <c r="M362" s="5">
        <v>32.308999999999997</v>
      </c>
      <c r="N362" s="5">
        <v>1.9710000000000001</v>
      </c>
      <c r="O362" s="5">
        <f t="shared" si="24"/>
        <v>780</v>
      </c>
      <c r="P362" s="5">
        <f t="shared" si="25"/>
        <v>90</v>
      </c>
      <c r="R362" s="5">
        <v>24.6</v>
      </c>
      <c r="S362" s="5">
        <v>7.84</v>
      </c>
      <c r="T362" s="5">
        <v>35.595333333333336</v>
      </c>
      <c r="U362" s="2">
        <v>0.40539999999999998</v>
      </c>
      <c r="V362" s="5">
        <v>78</v>
      </c>
      <c r="W362" s="5">
        <v>78</v>
      </c>
      <c r="AA362" s="2"/>
      <c r="AJ362" s="4"/>
      <c r="AR362" s="4"/>
    </row>
    <row r="363" spans="4:44">
      <c r="D363" s="5">
        <v>-18.3</v>
      </c>
      <c r="E363" s="5">
        <v>181.74</v>
      </c>
      <c r="F363" s="5">
        <f t="shared" si="26"/>
        <v>28.170333333333332</v>
      </c>
      <c r="G363" s="2">
        <v>4.3505000000000003</v>
      </c>
      <c r="H363" s="5">
        <f t="shared" si="22"/>
        <v>92.878625</v>
      </c>
      <c r="I363" s="5">
        <f t="shared" si="23"/>
        <v>90</v>
      </c>
      <c r="K363" s="5">
        <v>4.8500000000000014</v>
      </c>
      <c r="L363" s="5">
        <v>103.97500000000001</v>
      </c>
      <c r="M363" s="5">
        <v>32.308999999999997</v>
      </c>
      <c r="N363" s="5">
        <v>1.9480000000000002</v>
      </c>
      <c r="O363" s="5">
        <f t="shared" si="24"/>
        <v>780</v>
      </c>
      <c r="P363" s="5">
        <f t="shared" si="25"/>
        <v>90</v>
      </c>
      <c r="R363" s="5">
        <v>24.6</v>
      </c>
      <c r="S363" s="5">
        <v>12.837499999999999</v>
      </c>
      <c r="T363" s="5">
        <v>35.595333333333336</v>
      </c>
      <c r="U363" s="2">
        <v>0.40539999999999998</v>
      </c>
      <c r="V363" s="5">
        <v>78</v>
      </c>
      <c r="W363" s="5">
        <v>78</v>
      </c>
      <c r="AA363" s="2"/>
      <c r="AJ363" s="4"/>
      <c r="AR363" s="4"/>
    </row>
    <row r="364" spans="4:44">
      <c r="D364" s="5">
        <v>-18.7</v>
      </c>
      <c r="E364" s="5">
        <v>171.29000000000002</v>
      </c>
      <c r="F364" s="5">
        <f t="shared" si="26"/>
        <v>28.170333333333332</v>
      </c>
      <c r="G364" s="2">
        <v>4.3769999999999998</v>
      </c>
      <c r="H364" s="5">
        <f t="shared" si="22"/>
        <v>93.253625</v>
      </c>
      <c r="I364" s="5">
        <f t="shared" si="23"/>
        <v>90</v>
      </c>
      <c r="K364" s="5">
        <v>4.8000000000000007</v>
      </c>
      <c r="L364" s="5">
        <v>108.11999999999999</v>
      </c>
      <c r="M364" s="5">
        <v>32.308999999999997</v>
      </c>
      <c r="N364" s="5">
        <v>1.925</v>
      </c>
      <c r="O364" s="5">
        <f t="shared" si="24"/>
        <v>780</v>
      </c>
      <c r="P364" s="5">
        <f t="shared" si="25"/>
        <v>90</v>
      </c>
      <c r="R364" s="5">
        <v>24.6</v>
      </c>
      <c r="S364" s="5">
        <v>17.835000000000001</v>
      </c>
      <c r="T364" s="5">
        <v>35.595333333333336</v>
      </c>
      <c r="U364" s="2">
        <v>0.40539999999999998</v>
      </c>
      <c r="V364" s="5">
        <v>78</v>
      </c>
      <c r="W364" s="5">
        <v>78</v>
      </c>
      <c r="AA364" s="2"/>
      <c r="AJ364" s="4"/>
      <c r="AR364" s="4"/>
    </row>
    <row r="365" spans="4:44">
      <c r="D365" s="5">
        <v>-19.100000000000001</v>
      </c>
      <c r="E365" s="5">
        <v>160.84</v>
      </c>
      <c r="F365" s="5">
        <f t="shared" si="26"/>
        <v>28.170333333333332</v>
      </c>
      <c r="G365" s="2">
        <v>4.4035000000000002</v>
      </c>
      <c r="H365" s="5">
        <f t="shared" si="22"/>
        <v>93.632625000000004</v>
      </c>
      <c r="I365" s="5">
        <f t="shared" si="23"/>
        <v>90</v>
      </c>
      <c r="K365" s="5">
        <v>4.75</v>
      </c>
      <c r="L365" s="5">
        <v>112.265</v>
      </c>
      <c r="M365" s="5">
        <v>32.308999999999997</v>
      </c>
      <c r="N365" s="5">
        <v>1.9019999999999999</v>
      </c>
      <c r="O365" s="5">
        <f t="shared" si="24"/>
        <v>780</v>
      </c>
      <c r="P365" s="5">
        <f t="shared" si="25"/>
        <v>90</v>
      </c>
      <c r="R365" s="5">
        <v>24.6</v>
      </c>
      <c r="S365" s="5">
        <v>22.832499999999996</v>
      </c>
      <c r="T365" s="5">
        <v>35.595333333333336</v>
      </c>
      <c r="U365" s="2">
        <v>0.40539999999999998</v>
      </c>
      <c r="V365" s="5">
        <v>78</v>
      </c>
      <c r="W365" s="5">
        <v>78</v>
      </c>
      <c r="AA365" s="2"/>
      <c r="AJ365" s="4"/>
      <c r="AR365" s="4"/>
    </row>
    <row r="366" spans="4:44">
      <c r="D366" s="5">
        <v>-19.5</v>
      </c>
      <c r="E366" s="5">
        <v>150.38999999999999</v>
      </c>
      <c r="F366" s="5">
        <f t="shared" si="26"/>
        <v>28.170333333333332</v>
      </c>
      <c r="G366" s="2">
        <v>4.43</v>
      </c>
      <c r="H366" s="5">
        <f t="shared" si="22"/>
        <v>94.015625</v>
      </c>
      <c r="I366" s="5">
        <f t="shared" si="23"/>
        <v>90</v>
      </c>
      <c r="K366" s="5">
        <v>4.7</v>
      </c>
      <c r="L366" s="5">
        <v>116.41</v>
      </c>
      <c r="M366" s="5">
        <v>32.308999999999997</v>
      </c>
      <c r="N366" s="5">
        <v>1.879</v>
      </c>
      <c r="O366" s="5">
        <f t="shared" si="24"/>
        <v>780</v>
      </c>
      <c r="P366" s="5">
        <f t="shared" si="25"/>
        <v>90</v>
      </c>
      <c r="R366" s="5">
        <v>24.6</v>
      </c>
      <c r="S366" s="5">
        <v>27.83</v>
      </c>
      <c r="T366" s="5">
        <v>35.595333333333336</v>
      </c>
      <c r="U366" s="2">
        <v>0.40539999999999998</v>
      </c>
      <c r="V366" s="5">
        <v>78</v>
      </c>
      <c r="W366" s="5">
        <v>78</v>
      </c>
      <c r="AA366" s="2"/>
      <c r="AJ366" s="4"/>
      <c r="AR366" s="4"/>
    </row>
    <row r="367" spans="4:44">
      <c r="D367" s="5">
        <v>-19.725000000000001</v>
      </c>
      <c r="E367" s="5">
        <v>146.89249999999998</v>
      </c>
      <c r="F367" s="5">
        <f t="shared" si="26"/>
        <v>28.170333333333332</v>
      </c>
      <c r="G367" s="2">
        <v>4.4644999999999992</v>
      </c>
      <c r="H367" s="5">
        <f t="shared" si="22"/>
        <v>94.232820312499996</v>
      </c>
      <c r="I367" s="5">
        <f t="shared" si="23"/>
        <v>90</v>
      </c>
      <c r="K367" s="5">
        <v>4.5750000000000002</v>
      </c>
      <c r="L367" s="5">
        <v>127.17750000000001</v>
      </c>
      <c r="M367" s="5">
        <v>32.308999999999997</v>
      </c>
      <c r="N367" s="5">
        <v>1.88425</v>
      </c>
      <c r="O367" s="5">
        <f t="shared" si="24"/>
        <v>780</v>
      </c>
      <c r="P367" s="5">
        <f t="shared" si="25"/>
        <v>90</v>
      </c>
      <c r="R367" s="5">
        <v>24.55</v>
      </c>
      <c r="S367" s="5">
        <v>29.015000000000001</v>
      </c>
      <c r="T367" s="5">
        <v>35.595333333333336</v>
      </c>
      <c r="U367" s="2">
        <v>0.40544999999999998</v>
      </c>
      <c r="V367" s="5">
        <v>78</v>
      </c>
      <c r="W367" s="5">
        <v>78</v>
      </c>
      <c r="AA367" s="2"/>
      <c r="AJ367" s="4"/>
      <c r="AR367" s="4"/>
    </row>
    <row r="368" spans="4:44">
      <c r="D368" s="5">
        <v>-19.95</v>
      </c>
      <c r="E368" s="5">
        <v>143.39499999999998</v>
      </c>
      <c r="F368" s="5">
        <f t="shared" si="26"/>
        <v>28.170333333333332</v>
      </c>
      <c r="G368" s="2">
        <v>4.4989999999999997</v>
      </c>
      <c r="H368" s="5">
        <f t="shared" si="22"/>
        <v>94.451281249999994</v>
      </c>
      <c r="I368" s="5">
        <f t="shared" si="23"/>
        <v>90</v>
      </c>
      <c r="K368" s="5">
        <v>4.45</v>
      </c>
      <c r="L368" s="5">
        <v>137.94499999999999</v>
      </c>
      <c r="M368" s="5">
        <v>32.308999999999997</v>
      </c>
      <c r="N368" s="5">
        <v>1.8895000000000002</v>
      </c>
      <c r="O368" s="5">
        <f t="shared" si="24"/>
        <v>780</v>
      </c>
      <c r="P368" s="5">
        <f t="shared" si="25"/>
        <v>90</v>
      </c>
      <c r="R368" s="5">
        <v>24.5</v>
      </c>
      <c r="S368" s="5">
        <v>30.2</v>
      </c>
      <c r="T368" s="5">
        <v>35.595333333333336</v>
      </c>
      <c r="U368" s="2">
        <v>0.40549999999999997</v>
      </c>
      <c r="V368" s="5">
        <v>78</v>
      </c>
      <c r="W368" s="5">
        <v>78</v>
      </c>
      <c r="AA368" s="2"/>
      <c r="AJ368" s="4"/>
      <c r="AR368" s="4"/>
    </row>
    <row r="369" spans="4:44">
      <c r="D369" s="5">
        <v>-20.175000000000001</v>
      </c>
      <c r="E369" s="5">
        <v>139.89750000000001</v>
      </c>
      <c r="F369" s="5">
        <f t="shared" si="26"/>
        <v>28.170333333333332</v>
      </c>
      <c r="G369" s="2">
        <v>4.5335000000000001</v>
      </c>
      <c r="H369" s="5">
        <f t="shared" si="22"/>
        <v>94.671007812499994</v>
      </c>
      <c r="I369" s="5">
        <f t="shared" si="23"/>
        <v>90</v>
      </c>
      <c r="K369" s="5">
        <v>4.3250000000000002</v>
      </c>
      <c r="L369" s="5">
        <v>148.71250000000001</v>
      </c>
      <c r="M369" s="5">
        <v>32.308999999999997</v>
      </c>
      <c r="N369" s="5">
        <v>1.8947500000000002</v>
      </c>
      <c r="O369" s="5">
        <f t="shared" si="24"/>
        <v>780</v>
      </c>
      <c r="P369" s="5">
        <f t="shared" si="25"/>
        <v>90</v>
      </c>
      <c r="R369" s="5">
        <v>24.45</v>
      </c>
      <c r="S369" s="5">
        <v>31.385000000000002</v>
      </c>
      <c r="T369" s="5">
        <v>35.595333333333336</v>
      </c>
      <c r="U369" s="2">
        <v>0.40554999999999997</v>
      </c>
      <c r="V369" s="5">
        <v>78</v>
      </c>
      <c r="W369" s="5">
        <v>78</v>
      </c>
      <c r="AA369" s="2"/>
      <c r="AJ369" s="4"/>
      <c r="AR369" s="4"/>
    </row>
    <row r="370" spans="4:44">
      <c r="D370" s="5">
        <v>-20.399999999999999</v>
      </c>
      <c r="E370" s="5">
        <v>136.4</v>
      </c>
      <c r="F370" s="5">
        <f t="shared" si="26"/>
        <v>28.170333333333332</v>
      </c>
      <c r="G370" s="2">
        <v>4.5679999999999996</v>
      </c>
      <c r="H370" s="5">
        <f t="shared" si="22"/>
        <v>94.891999999999996</v>
      </c>
      <c r="I370" s="5">
        <f t="shared" si="23"/>
        <v>90</v>
      </c>
      <c r="K370" s="5">
        <v>4.2</v>
      </c>
      <c r="L370" s="5">
        <v>159.48000000000002</v>
      </c>
      <c r="M370" s="5">
        <v>32.308999999999997</v>
      </c>
      <c r="N370" s="5">
        <v>1.9000000000000001</v>
      </c>
      <c r="O370" s="5">
        <f t="shared" si="24"/>
        <v>780</v>
      </c>
      <c r="P370" s="5">
        <f t="shared" si="25"/>
        <v>90</v>
      </c>
      <c r="R370" s="5">
        <v>24.4</v>
      </c>
      <c r="S370" s="5">
        <v>32.57</v>
      </c>
      <c r="T370" s="5">
        <v>35.595333333333336</v>
      </c>
      <c r="U370" s="2">
        <v>0.40560000000000002</v>
      </c>
      <c r="V370" s="5">
        <v>78</v>
      </c>
      <c r="W370" s="5">
        <v>78</v>
      </c>
      <c r="AA370" s="2"/>
      <c r="AJ370" s="4"/>
      <c r="AR370" s="4"/>
    </row>
    <row r="371" spans="4:44">
      <c r="D371" s="5">
        <v>-20.6</v>
      </c>
      <c r="E371" s="5">
        <v>127.08500000000001</v>
      </c>
      <c r="F371" s="5">
        <f t="shared" si="26"/>
        <v>28.170333333333332</v>
      </c>
      <c r="G371" s="2">
        <v>4.5292499999999993</v>
      </c>
      <c r="H371" s="5">
        <f t="shared" si="22"/>
        <v>95.089500000000001</v>
      </c>
      <c r="I371" s="5">
        <f t="shared" si="23"/>
        <v>90</v>
      </c>
      <c r="K371" s="5">
        <v>4.125</v>
      </c>
      <c r="L371" s="5">
        <v>155.26</v>
      </c>
      <c r="M371" s="5">
        <v>32.308999999999997</v>
      </c>
      <c r="N371" s="5">
        <v>1.925</v>
      </c>
      <c r="O371" s="5">
        <f t="shared" si="24"/>
        <v>780</v>
      </c>
      <c r="P371" s="5">
        <f t="shared" si="25"/>
        <v>90</v>
      </c>
      <c r="R371" s="5">
        <v>24.274999999999999</v>
      </c>
      <c r="S371" s="5">
        <v>31.1675</v>
      </c>
      <c r="T371" s="5">
        <v>35.595333333333336</v>
      </c>
      <c r="U371" s="2">
        <v>0.405725</v>
      </c>
      <c r="V371" s="5">
        <v>78</v>
      </c>
      <c r="W371" s="5">
        <v>78</v>
      </c>
      <c r="AA371" s="2"/>
      <c r="AJ371" s="4"/>
      <c r="AR371" s="4"/>
    </row>
    <row r="372" spans="4:44">
      <c r="D372" s="5">
        <v>-20.8</v>
      </c>
      <c r="E372" s="5">
        <v>117.77</v>
      </c>
      <c r="F372" s="5">
        <f t="shared" si="26"/>
        <v>28.170333333333332</v>
      </c>
      <c r="G372" s="2">
        <v>4.4904999999999999</v>
      </c>
      <c r="H372" s="5">
        <f t="shared" si="22"/>
        <v>95.287999999999997</v>
      </c>
      <c r="I372" s="5">
        <f t="shared" si="23"/>
        <v>90</v>
      </c>
      <c r="K372" s="5">
        <v>4.05</v>
      </c>
      <c r="L372" s="5">
        <v>151.04</v>
      </c>
      <c r="M372" s="5">
        <v>32.308999999999997</v>
      </c>
      <c r="N372" s="5">
        <v>1.95</v>
      </c>
      <c r="O372" s="5">
        <f t="shared" si="24"/>
        <v>780</v>
      </c>
      <c r="P372" s="5">
        <f t="shared" si="25"/>
        <v>90</v>
      </c>
      <c r="R372" s="5">
        <v>24.15</v>
      </c>
      <c r="S372" s="5">
        <v>29.765000000000001</v>
      </c>
      <c r="T372" s="5">
        <v>35.595333333333336</v>
      </c>
      <c r="U372" s="2">
        <v>0.40584999999999999</v>
      </c>
      <c r="V372" s="5">
        <v>78</v>
      </c>
      <c r="W372" s="5">
        <v>78</v>
      </c>
      <c r="AA372" s="2"/>
      <c r="AJ372" s="4"/>
      <c r="AR372" s="4"/>
    </row>
    <row r="373" spans="4:44">
      <c r="D373" s="5">
        <v>-21</v>
      </c>
      <c r="E373" s="5">
        <v>108.455</v>
      </c>
      <c r="F373" s="5">
        <f t="shared" si="26"/>
        <v>28.170333333333332</v>
      </c>
      <c r="G373" s="2">
        <v>4.4517499999999997</v>
      </c>
      <c r="H373" s="5">
        <f t="shared" si="22"/>
        <v>95.487499999999997</v>
      </c>
      <c r="I373" s="5">
        <f t="shared" si="23"/>
        <v>90</v>
      </c>
      <c r="K373" s="5">
        <v>3.9750000000000001</v>
      </c>
      <c r="L373" s="5">
        <v>146.82</v>
      </c>
      <c r="M373" s="5">
        <v>32.308999999999997</v>
      </c>
      <c r="N373" s="5">
        <v>1.9750000000000001</v>
      </c>
      <c r="O373" s="5">
        <f t="shared" si="24"/>
        <v>780</v>
      </c>
      <c r="P373" s="5">
        <f t="shared" si="25"/>
        <v>90</v>
      </c>
      <c r="R373" s="5">
        <v>24.024999999999999</v>
      </c>
      <c r="S373" s="5">
        <v>28.362500000000001</v>
      </c>
      <c r="T373" s="5">
        <v>35.595333333333336</v>
      </c>
      <c r="U373" s="2">
        <v>0.40597499999999997</v>
      </c>
      <c r="V373" s="5">
        <v>78</v>
      </c>
      <c r="W373" s="5">
        <v>78</v>
      </c>
      <c r="AA373" s="2"/>
      <c r="AJ373" s="4"/>
      <c r="AR373" s="4"/>
    </row>
    <row r="374" spans="4:44">
      <c r="D374" s="5">
        <v>-21.2</v>
      </c>
      <c r="E374" s="5">
        <v>99.14</v>
      </c>
      <c r="F374" s="5">
        <f t="shared" si="26"/>
        <v>28.170333333333332</v>
      </c>
      <c r="G374" s="2">
        <v>4.4130000000000003</v>
      </c>
      <c r="H374" s="5">
        <f t="shared" si="22"/>
        <v>95.688000000000002</v>
      </c>
      <c r="I374" s="5">
        <f t="shared" si="23"/>
        <v>90</v>
      </c>
      <c r="K374" s="5">
        <v>3.9</v>
      </c>
      <c r="L374" s="5">
        <v>142.6</v>
      </c>
      <c r="M374" s="5">
        <v>32.308999999999997</v>
      </c>
      <c r="N374" s="5">
        <v>2</v>
      </c>
      <c r="O374" s="5">
        <f t="shared" si="24"/>
        <v>780</v>
      </c>
      <c r="P374" s="5">
        <f t="shared" si="25"/>
        <v>90</v>
      </c>
      <c r="R374" s="5">
        <v>23.9</v>
      </c>
      <c r="S374" s="5">
        <v>26.96</v>
      </c>
      <c r="T374" s="5">
        <v>35.595333333333336</v>
      </c>
      <c r="U374" s="2">
        <v>0.40610000000000002</v>
      </c>
      <c r="V374" s="5">
        <v>78</v>
      </c>
      <c r="W374" s="5">
        <v>78</v>
      </c>
      <c r="AA374" s="2"/>
      <c r="AJ374" s="4"/>
      <c r="AR374" s="4"/>
    </row>
    <row r="375" spans="4:44">
      <c r="D375" s="5">
        <v>-21.3</v>
      </c>
      <c r="E375" s="5">
        <v>112.18</v>
      </c>
      <c r="F375" s="5">
        <f t="shared" si="26"/>
        <v>28.170333333333332</v>
      </c>
      <c r="G375" s="2">
        <v>4.3535000000000004</v>
      </c>
      <c r="H375" s="5">
        <f t="shared" si="22"/>
        <v>95.788624999999996</v>
      </c>
      <c r="I375" s="5">
        <f t="shared" si="23"/>
        <v>90</v>
      </c>
      <c r="K375" s="5">
        <v>3.8250000000000002</v>
      </c>
      <c r="L375" s="5">
        <v>139.54249999999999</v>
      </c>
      <c r="M375" s="5">
        <v>32.308999999999997</v>
      </c>
      <c r="N375" s="5">
        <v>2.0124999999999997</v>
      </c>
      <c r="O375" s="5">
        <f t="shared" si="24"/>
        <v>780</v>
      </c>
      <c r="P375" s="5">
        <f t="shared" si="25"/>
        <v>90</v>
      </c>
      <c r="R375" s="5">
        <v>23.875</v>
      </c>
      <c r="S375" s="5">
        <v>25.695</v>
      </c>
      <c r="T375" s="5">
        <v>35.595333333333336</v>
      </c>
      <c r="U375" s="2">
        <v>0.40612500000000001</v>
      </c>
      <c r="V375" s="5">
        <v>78</v>
      </c>
      <c r="W375" s="5">
        <v>78</v>
      </c>
      <c r="AA375" s="2"/>
      <c r="AJ375" s="4"/>
      <c r="AR375" s="4"/>
    </row>
    <row r="376" spans="4:44">
      <c r="D376" s="5">
        <v>-21.4</v>
      </c>
      <c r="E376" s="5">
        <v>125.22</v>
      </c>
      <c r="F376" s="5">
        <f t="shared" si="26"/>
        <v>28.170333333333332</v>
      </c>
      <c r="G376" s="2">
        <v>4.2939999999999996</v>
      </c>
      <c r="H376" s="5">
        <f t="shared" si="22"/>
        <v>95.889499999999998</v>
      </c>
      <c r="I376" s="5">
        <f t="shared" si="23"/>
        <v>90</v>
      </c>
      <c r="K376" s="5">
        <v>3.75</v>
      </c>
      <c r="L376" s="5">
        <v>136.48500000000001</v>
      </c>
      <c r="M376" s="5">
        <v>32.308999999999997</v>
      </c>
      <c r="N376" s="5">
        <v>2.0249999999999999</v>
      </c>
      <c r="O376" s="5">
        <f t="shared" si="24"/>
        <v>780</v>
      </c>
      <c r="P376" s="5">
        <f t="shared" si="25"/>
        <v>90</v>
      </c>
      <c r="R376" s="5">
        <v>23.85</v>
      </c>
      <c r="S376" s="5">
        <v>24.43</v>
      </c>
      <c r="T376" s="5">
        <v>35.595333333333336</v>
      </c>
      <c r="U376" s="2">
        <v>0.40615000000000001</v>
      </c>
      <c r="V376" s="5">
        <v>78</v>
      </c>
      <c r="W376" s="5">
        <v>78</v>
      </c>
      <c r="AA376" s="2"/>
      <c r="AJ376" s="4"/>
      <c r="AR376" s="4"/>
    </row>
    <row r="377" spans="4:44">
      <c r="D377" s="5">
        <v>-21.5</v>
      </c>
      <c r="E377" s="5">
        <v>138.26</v>
      </c>
      <c r="F377" s="5">
        <f t="shared" si="26"/>
        <v>28.170333333333332</v>
      </c>
      <c r="G377" s="2">
        <v>4.2344999999999997</v>
      </c>
      <c r="H377" s="5">
        <f t="shared" si="22"/>
        <v>95.990624999999994</v>
      </c>
      <c r="I377" s="5">
        <f t="shared" si="23"/>
        <v>90</v>
      </c>
      <c r="K377" s="5">
        <v>3.6749999999999998</v>
      </c>
      <c r="L377" s="5">
        <v>133.42750000000001</v>
      </c>
      <c r="M377" s="5">
        <v>32.308999999999997</v>
      </c>
      <c r="N377" s="5">
        <v>2.0375000000000001</v>
      </c>
      <c r="O377" s="5">
        <f t="shared" si="24"/>
        <v>780</v>
      </c>
      <c r="P377" s="5">
        <f t="shared" si="25"/>
        <v>90</v>
      </c>
      <c r="R377" s="5">
        <v>23.824999999999999</v>
      </c>
      <c r="S377" s="5">
        <v>23.164999999999999</v>
      </c>
      <c r="T377" s="5">
        <v>35.595333333333336</v>
      </c>
      <c r="U377" s="2">
        <v>0.40617500000000001</v>
      </c>
      <c r="V377" s="5">
        <v>78</v>
      </c>
      <c r="W377" s="5">
        <v>78</v>
      </c>
      <c r="AA377" s="2"/>
      <c r="AJ377" s="4"/>
      <c r="AR377" s="4"/>
    </row>
    <row r="378" spans="4:44">
      <c r="D378" s="5">
        <v>-21.6</v>
      </c>
      <c r="E378" s="5">
        <v>151.30000000000001</v>
      </c>
      <c r="F378" s="5">
        <f t="shared" si="26"/>
        <v>28.170333333333332</v>
      </c>
      <c r="G378" s="2">
        <v>4.1749999999999998</v>
      </c>
      <c r="H378" s="5">
        <f t="shared" si="22"/>
        <v>96.091999999999999</v>
      </c>
      <c r="I378" s="5">
        <f t="shared" si="23"/>
        <v>90</v>
      </c>
      <c r="K378" s="5">
        <v>3.6</v>
      </c>
      <c r="L378" s="5">
        <v>130.37</v>
      </c>
      <c r="M378" s="5">
        <v>32.308999999999997</v>
      </c>
      <c r="N378" s="5">
        <v>2.0499999999999998</v>
      </c>
      <c r="O378" s="5">
        <f t="shared" si="24"/>
        <v>780</v>
      </c>
      <c r="P378" s="5">
        <f t="shared" si="25"/>
        <v>90</v>
      </c>
      <c r="R378" s="5">
        <v>23.8</v>
      </c>
      <c r="S378" s="5">
        <v>21.9</v>
      </c>
      <c r="T378" s="5">
        <v>35.595333333333336</v>
      </c>
      <c r="U378" s="2">
        <v>0.40620000000000001</v>
      </c>
      <c r="V378" s="5">
        <v>78</v>
      </c>
      <c r="W378" s="5">
        <v>78</v>
      </c>
      <c r="AA378" s="2"/>
      <c r="AJ378" s="4"/>
      <c r="AR378" s="4"/>
    </row>
    <row r="379" spans="4:44">
      <c r="D379" s="5">
        <v>-21.7</v>
      </c>
      <c r="E379" s="5">
        <v>145.41499999999999</v>
      </c>
      <c r="F379" s="5">
        <f t="shared" si="26"/>
        <v>28.170333333333332</v>
      </c>
      <c r="G379" s="2">
        <v>4.2077499999999999</v>
      </c>
      <c r="H379" s="5">
        <f t="shared" si="22"/>
        <v>96.193624999999997</v>
      </c>
      <c r="I379" s="5">
        <f t="shared" si="23"/>
        <v>90</v>
      </c>
      <c r="K379" s="5">
        <v>3.5</v>
      </c>
      <c r="L379" s="5">
        <v>122.92749999999999</v>
      </c>
      <c r="M379" s="5">
        <v>32.308999999999997</v>
      </c>
      <c r="N379" s="5">
        <v>2.0289999999999999</v>
      </c>
      <c r="O379" s="5">
        <f t="shared" si="24"/>
        <v>780</v>
      </c>
      <c r="P379" s="5">
        <f t="shared" si="25"/>
        <v>90</v>
      </c>
      <c r="R379" s="5">
        <v>23.35</v>
      </c>
      <c r="S379" s="5">
        <v>18.907499999999999</v>
      </c>
      <c r="T379" s="5">
        <v>35.595333333333336</v>
      </c>
      <c r="U379" s="2">
        <v>0.40665000000000001</v>
      </c>
      <c r="V379" s="5">
        <v>78</v>
      </c>
      <c r="W379" s="5">
        <v>78</v>
      </c>
      <c r="AA379" s="2"/>
      <c r="AJ379" s="4"/>
      <c r="AR379" s="4"/>
    </row>
    <row r="380" spans="4:44">
      <c r="D380" s="5">
        <v>-21.8</v>
      </c>
      <c r="E380" s="5">
        <v>139.53</v>
      </c>
      <c r="F380" s="5">
        <f t="shared" si="26"/>
        <v>28.170333333333332</v>
      </c>
      <c r="G380" s="2">
        <v>4.2404999999999999</v>
      </c>
      <c r="H380" s="5">
        <f t="shared" si="22"/>
        <v>96.295500000000004</v>
      </c>
      <c r="I380" s="5">
        <f t="shared" si="23"/>
        <v>90</v>
      </c>
      <c r="K380" s="5">
        <v>3.4</v>
      </c>
      <c r="L380" s="5">
        <v>115.48500000000001</v>
      </c>
      <c r="M380" s="5">
        <v>32.308999999999997</v>
      </c>
      <c r="N380" s="5">
        <v>2.008</v>
      </c>
      <c r="O380" s="5">
        <f t="shared" si="24"/>
        <v>780</v>
      </c>
      <c r="P380" s="5">
        <f t="shared" si="25"/>
        <v>90</v>
      </c>
      <c r="R380" s="5">
        <v>22.9</v>
      </c>
      <c r="S380" s="5">
        <v>15.914999999999999</v>
      </c>
      <c r="T380" s="5">
        <v>35.595333333333336</v>
      </c>
      <c r="U380" s="2">
        <v>0.40710000000000002</v>
      </c>
      <c r="V380" s="5">
        <v>78</v>
      </c>
      <c r="W380" s="5">
        <v>78</v>
      </c>
      <c r="AA380" s="2"/>
      <c r="AJ380" s="4"/>
      <c r="AR380" s="4"/>
    </row>
    <row r="381" spans="4:44">
      <c r="D381" s="5">
        <v>-21.9</v>
      </c>
      <c r="E381" s="5">
        <v>133.64499999999998</v>
      </c>
      <c r="F381" s="5">
        <f t="shared" si="26"/>
        <v>28.170333333333332</v>
      </c>
      <c r="G381" s="2">
        <v>4.27325</v>
      </c>
      <c r="H381" s="5">
        <f t="shared" si="22"/>
        <v>96.397625000000005</v>
      </c>
      <c r="I381" s="5">
        <f t="shared" si="23"/>
        <v>90</v>
      </c>
      <c r="K381" s="5">
        <v>3.3</v>
      </c>
      <c r="L381" s="5">
        <v>108.04249999999999</v>
      </c>
      <c r="M381" s="5">
        <v>32.308999999999997</v>
      </c>
      <c r="N381" s="5">
        <v>1.9869999999999999</v>
      </c>
      <c r="O381" s="5">
        <f t="shared" si="24"/>
        <v>780</v>
      </c>
      <c r="P381" s="5">
        <f t="shared" si="25"/>
        <v>90</v>
      </c>
      <c r="R381" s="5">
        <v>22.45</v>
      </c>
      <c r="S381" s="5">
        <v>12.922499999999999</v>
      </c>
      <c r="T381" s="5">
        <v>35.595333333333336</v>
      </c>
      <c r="U381" s="2">
        <v>0.40754999999999997</v>
      </c>
      <c r="V381" s="5">
        <v>78</v>
      </c>
      <c r="W381" s="5">
        <v>78</v>
      </c>
      <c r="AA381" s="2"/>
      <c r="AJ381" s="4"/>
      <c r="AR381" s="4"/>
    </row>
    <row r="382" spans="4:44">
      <c r="D382" s="5">
        <v>-22</v>
      </c>
      <c r="E382" s="5">
        <v>127.75999999999999</v>
      </c>
      <c r="F382" s="5">
        <f t="shared" si="26"/>
        <v>28.170333333333332</v>
      </c>
      <c r="G382" s="2">
        <v>4.306</v>
      </c>
      <c r="H382" s="5">
        <f t="shared" si="22"/>
        <v>96.5</v>
      </c>
      <c r="I382" s="5">
        <f t="shared" si="23"/>
        <v>90</v>
      </c>
      <c r="K382" s="5">
        <v>3.2</v>
      </c>
      <c r="L382" s="5">
        <v>100.60000000000001</v>
      </c>
      <c r="M382" s="5">
        <v>32.308999999999997</v>
      </c>
      <c r="N382" s="5">
        <v>1.966</v>
      </c>
      <c r="O382" s="5">
        <f t="shared" si="24"/>
        <v>780</v>
      </c>
      <c r="P382" s="5">
        <f t="shared" si="25"/>
        <v>90</v>
      </c>
      <c r="R382" s="5">
        <v>22</v>
      </c>
      <c r="S382" s="5">
        <v>9.93</v>
      </c>
      <c r="T382" s="5">
        <v>35.595333333333336</v>
      </c>
      <c r="U382" s="2">
        <v>0.40799999999999997</v>
      </c>
      <c r="V382" s="5">
        <v>78</v>
      </c>
      <c r="W382" s="5">
        <v>78</v>
      </c>
      <c r="AA382" s="2"/>
      <c r="AJ382" s="4"/>
      <c r="AR382" s="4"/>
    </row>
    <row r="383" spans="4:44">
      <c r="D383" s="5">
        <v>-22.125</v>
      </c>
      <c r="E383" s="5">
        <v>120.94250000000001</v>
      </c>
      <c r="F383" s="5">
        <f t="shared" si="26"/>
        <v>28.170333333333332</v>
      </c>
      <c r="G383" s="2">
        <v>4.2859999999999996</v>
      </c>
      <c r="H383" s="5">
        <f t="shared" si="22"/>
        <v>96.628320312499994</v>
      </c>
      <c r="I383" s="5">
        <f t="shared" si="23"/>
        <v>90</v>
      </c>
      <c r="K383" s="5">
        <v>3.15</v>
      </c>
      <c r="L383" s="5">
        <v>99.802499999999995</v>
      </c>
      <c r="M383" s="5">
        <v>32.308999999999997</v>
      </c>
      <c r="N383" s="5">
        <v>1.948</v>
      </c>
      <c r="O383" s="5">
        <f t="shared" si="24"/>
        <v>780</v>
      </c>
      <c r="P383" s="5">
        <f t="shared" si="25"/>
        <v>90</v>
      </c>
      <c r="R383" s="5">
        <v>21.65</v>
      </c>
      <c r="S383" s="5">
        <v>7.45</v>
      </c>
      <c r="T383" s="5">
        <v>35.595333333333336</v>
      </c>
      <c r="U383" s="2">
        <v>0.40834999999999999</v>
      </c>
      <c r="V383" s="5">
        <v>78</v>
      </c>
      <c r="W383" s="5">
        <v>78</v>
      </c>
      <c r="AA383" s="2"/>
      <c r="AJ383" s="4"/>
      <c r="AR383" s="4"/>
    </row>
    <row r="384" spans="4:44">
      <c r="D384" s="5">
        <v>-22.25</v>
      </c>
      <c r="E384" s="5">
        <v>114.125</v>
      </c>
      <c r="F384" s="5">
        <f t="shared" si="26"/>
        <v>28.170333333333332</v>
      </c>
      <c r="G384" s="2">
        <v>4.266</v>
      </c>
      <c r="H384" s="5">
        <f t="shared" si="22"/>
        <v>96.757031249999997</v>
      </c>
      <c r="I384" s="5">
        <f t="shared" si="23"/>
        <v>90</v>
      </c>
      <c r="K384" s="5">
        <v>3.1</v>
      </c>
      <c r="L384" s="5">
        <v>99.00500000000001</v>
      </c>
      <c r="M384" s="5">
        <v>32.308999999999997</v>
      </c>
      <c r="N384" s="5">
        <v>1.93</v>
      </c>
      <c r="O384" s="5">
        <f t="shared" si="24"/>
        <v>780</v>
      </c>
      <c r="P384" s="5">
        <f t="shared" si="25"/>
        <v>90</v>
      </c>
      <c r="R384" s="5">
        <v>21.3</v>
      </c>
      <c r="S384" s="5">
        <v>4.97</v>
      </c>
      <c r="T384" s="5">
        <v>35.595333333333336</v>
      </c>
      <c r="U384" s="2">
        <v>0.40870000000000001</v>
      </c>
      <c r="V384" s="5">
        <v>78</v>
      </c>
      <c r="W384" s="5">
        <v>78</v>
      </c>
      <c r="AA384" s="2"/>
      <c r="AJ384" s="4"/>
      <c r="AR384" s="4"/>
    </row>
    <row r="385" spans="4:44">
      <c r="D385" s="5">
        <v>-22.375</v>
      </c>
      <c r="E385" s="5">
        <v>107.3075</v>
      </c>
      <c r="F385" s="5">
        <f t="shared" si="26"/>
        <v>28.170333333333332</v>
      </c>
      <c r="G385" s="2">
        <v>4.2459999999999996</v>
      </c>
      <c r="H385" s="5">
        <f t="shared" si="22"/>
        <v>96.886132812499994</v>
      </c>
      <c r="I385" s="5">
        <f t="shared" si="23"/>
        <v>90</v>
      </c>
      <c r="K385" s="5">
        <v>3.05</v>
      </c>
      <c r="L385" s="5">
        <v>98.20750000000001</v>
      </c>
      <c r="M385" s="5">
        <v>32.308999999999997</v>
      </c>
      <c r="N385" s="5">
        <v>1.9120000000000001</v>
      </c>
      <c r="O385" s="5">
        <f t="shared" si="24"/>
        <v>780</v>
      </c>
      <c r="P385" s="5">
        <f t="shared" si="25"/>
        <v>90</v>
      </c>
      <c r="R385" s="5">
        <v>20.95</v>
      </c>
      <c r="S385" s="5">
        <v>2.4900000000000002</v>
      </c>
      <c r="T385" s="5">
        <v>35.595333333333336</v>
      </c>
      <c r="U385" s="2">
        <v>0.40904999999999997</v>
      </c>
      <c r="V385" s="5">
        <v>78</v>
      </c>
      <c r="W385" s="5">
        <v>78</v>
      </c>
      <c r="AA385" s="2"/>
      <c r="AJ385" s="4"/>
      <c r="AR385" s="4"/>
    </row>
    <row r="386" spans="4:44">
      <c r="D386" s="5">
        <v>-22.5</v>
      </c>
      <c r="E386" s="5">
        <v>100.49</v>
      </c>
      <c r="F386" s="5">
        <f t="shared" ref="F386:F417" si="27">$F$385-($F$385-F482)/3</f>
        <v>28.11322222222222</v>
      </c>
      <c r="G386" s="2">
        <v>4.226</v>
      </c>
      <c r="H386" s="5">
        <f t="shared" si="22"/>
        <v>97.015625</v>
      </c>
      <c r="I386" s="5">
        <f t="shared" si="23"/>
        <v>90</v>
      </c>
      <c r="K386" s="5">
        <v>3</v>
      </c>
      <c r="L386" s="5">
        <v>97.41</v>
      </c>
      <c r="M386" s="5">
        <f t="shared" ref="M386:M417" si="28">$M$385-($M$385-$M$578)/3</f>
        <v>32.047333333333334</v>
      </c>
      <c r="N386" s="5">
        <v>1.8940000000000001</v>
      </c>
      <c r="O386" s="5">
        <f t="shared" si="24"/>
        <v>780</v>
      </c>
      <c r="P386" s="5">
        <f t="shared" si="25"/>
        <v>90</v>
      </c>
      <c r="R386" s="5">
        <v>20.6</v>
      </c>
      <c r="S386" s="5">
        <v>0.01</v>
      </c>
      <c r="T386" s="5">
        <v>35.521555555555558</v>
      </c>
      <c r="U386" s="2">
        <v>0.40939999999999999</v>
      </c>
      <c r="V386" s="5">
        <v>78</v>
      </c>
      <c r="W386" s="5">
        <v>78</v>
      </c>
      <c r="AA386" s="2"/>
      <c r="AJ386" s="4"/>
      <c r="AR386" s="4"/>
    </row>
    <row r="387" spans="4:44">
      <c r="D387" s="5">
        <v>-22.574999999999999</v>
      </c>
      <c r="E387" s="5">
        <v>98.53</v>
      </c>
      <c r="F387" s="5">
        <f t="shared" si="27"/>
        <v>28.11322222222222</v>
      </c>
      <c r="G387" s="2">
        <v>4.2414999999999994</v>
      </c>
      <c r="H387" s="5">
        <f t="shared" ref="H387:H450" si="29">IF(D387&lt;0,0.0125*D387^2-0.475*D387+80,80)</f>
        <v>97.093507812500008</v>
      </c>
      <c r="I387" s="5">
        <f t="shared" ref="I387:I450" si="30">IF(H387&lt;90,H387,90)</f>
        <v>90</v>
      </c>
      <c r="K387" s="5">
        <v>3.0249999999999999</v>
      </c>
      <c r="L387" s="5">
        <v>94.552499999999995</v>
      </c>
      <c r="M387" s="5">
        <f t="shared" si="28"/>
        <v>32.047333333333334</v>
      </c>
      <c r="N387" s="5">
        <v>1.8925000000000001</v>
      </c>
      <c r="O387" s="5">
        <f t="shared" ref="O387:O450" si="31">IF(K387&lt;0,0.0125*K387^2-0.475*K387+80,780)</f>
        <v>780</v>
      </c>
      <c r="P387" s="5">
        <f t="shared" ref="P387:P450" si="32">IF(O387&lt;90,O387,90)</f>
        <v>90</v>
      </c>
      <c r="R387" s="5">
        <v>20.25</v>
      </c>
      <c r="S387" s="5">
        <v>7.4999999999999997E-3</v>
      </c>
      <c r="T387" s="5">
        <v>35.521555555555558</v>
      </c>
      <c r="U387" s="2">
        <v>0.40975</v>
      </c>
      <c r="V387" s="5">
        <v>78</v>
      </c>
      <c r="W387" s="5">
        <v>78</v>
      </c>
      <c r="AA387" s="2"/>
      <c r="AJ387" s="4"/>
      <c r="AR387" s="4"/>
    </row>
    <row r="388" spans="4:44">
      <c r="D388" s="5">
        <v>-22.65</v>
      </c>
      <c r="E388" s="5">
        <v>96.57</v>
      </c>
      <c r="F388" s="5">
        <f t="shared" si="27"/>
        <v>28.11322222222222</v>
      </c>
      <c r="G388" s="2">
        <v>4.2569999999999997</v>
      </c>
      <c r="H388" s="5">
        <f t="shared" si="29"/>
        <v>97.171531250000001</v>
      </c>
      <c r="I388" s="5">
        <f t="shared" si="30"/>
        <v>90</v>
      </c>
      <c r="K388" s="5">
        <v>3.05</v>
      </c>
      <c r="L388" s="5">
        <v>91.694999999999993</v>
      </c>
      <c r="M388" s="5">
        <f t="shared" si="28"/>
        <v>32.047333333333334</v>
      </c>
      <c r="N388" s="5">
        <v>1.8910000000000002</v>
      </c>
      <c r="O388" s="5">
        <f t="shared" si="31"/>
        <v>780</v>
      </c>
      <c r="P388" s="5">
        <f t="shared" si="32"/>
        <v>90</v>
      </c>
      <c r="R388" s="5">
        <v>19.899999999999999</v>
      </c>
      <c r="S388" s="5">
        <v>5.0000000000000001E-3</v>
      </c>
      <c r="T388" s="5">
        <v>35.521555555555558</v>
      </c>
      <c r="U388" s="2">
        <v>0.41010000000000002</v>
      </c>
      <c r="V388" s="5">
        <v>78</v>
      </c>
      <c r="W388" s="5">
        <v>78</v>
      </c>
      <c r="AA388" s="2"/>
      <c r="AJ388" s="4"/>
      <c r="AR388" s="4"/>
    </row>
    <row r="389" spans="4:44">
      <c r="D389" s="5">
        <v>-22.725000000000001</v>
      </c>
      <c r="E389" s="5">
        <v>94.61</v>
      </c>
      <c r="F389" s="5">
        <f t="shared" si="27"/>
        <v>28.11322222222222</v>
      </c>
      <c r="G389" s="2">
        <v>4.2725</v>
      </c>
      <c r="H389" s="5">
        <f t="shared" si="29"/>
        <v>97.249695312499995</v>
      </c>
      <c r="I389" s="5">
        <f t="shared" si="30"/>
        <v>90</v>
      </c>
      <c r="K389" s="5">
        <v>3.0750000000000002</v>
      </c>
      <c r="L389" s="5">
        <v>88.837500000000006</v>
      </c>
      <c r="M389" s="5">
        <f t="shared" si="28"/>
        <v>32.047333333333334</v>
      </c>
      <c r="N389" s="5">
        <v>1.8895000000000002</v>
      </c>
      <c r="O389" s="5">
        <f t="shared" si="31"/>
        <v>780</v>
      </c>
      <c r="P389" s="5">
        <f t="shared" si="32"/>
        <v>90</v>
      </c>
      <c r="R389" s="5">
        <v>19.55</v>
      </c>
      <c r="S389" s="5">
        <v>2.5000000000000001E-3</v>
      </c>
      <c r="T389" s="5">
        <v>35.521555555555558</v>
      </c>
      <c r="U389" s="2">
        <v>0.41044999999999998</v>
      </c>
      <c r="V389" s="5">
        <v>78</v>
      </c>
      <c r="W389" s="5">
        <v>78</v>
      </c>
      <c r="AA389" s="2"/>
      <c r="AJ389" s="4"/>
      <c r="AR389" s="4"/>
    </row>
    <row r="390" spans="4:44">
      <c r="D390" s="5">
        <v>-22.8</v>
      </c>
      <c r="E390" s="5">
        <v>92.65</v>
      </c>
      <c r="F390" s="5">
        <f t="shared" si="27"/>
        <v>28.11322222222222</v>
      </c>
      <c r="G390" s="2">
        <v>4.2880000000000003</v>
      </c>
      <c r="H390" s="5">
        <f t="shared" si="29"/>
        <v>97.328000000000003</v>
      </c>
      <c r="I390" s="5">
        <f t="shared" si="30"/>
        <v>90</v>
      </c>
      <c r="K390" s="5">
        <v>3.1</v>
      </c>
      <c r="L390" s="5">
        <v>85.98</v>
      </c>
      <c r="M390" s="5">
        <f t="shared" si="28"/>
        <v>32.047333333333334</v>
      </c>
      <c r="N390" s="5">
        <v>1.8880000000000001</v>
      </c>
      <c r="O390" s="5">
        <f t="shared" si="31"/>
        <v>780</v>
      </c>
      <c r="P390" s="5">
        <f t="shared" si="32"/>
        <v>90</v>
      </c>
      <c r="R390" s="5">
        <v>19.2</v>
      </c>
      <c r="S390" s="5">
        <v>0</v>
      </c>
      <c r="T390" s="5">
        <v>35.521555555555558</v>
      </c>
      <c r="U390" s="2">
        <v>0.4108</v>
      </c>
      <c r="V390" s="5">
        <v>78</v>
      </c>
      <c r="W390" s="5">
        <v>78</v>
      </c>
      <c r="AA390" s="2"/>
      <c r="AJ390" s="4"/>
      <c r="AR390" s="4"/>
    </row>
    <row r="391" spans="4:44">
      <c r="D391" s="5">
        <v>-22.875</v>
      </c>
      <c r="E391" s="5">
        <v>92.577500000000015</v>
      </c>
      <c r="F391" s="5">
        <f t="shared" si="27"/>
        <v>28.11322222222222</v>
      </c>
      <c r="G391" s="2">
        <v>4.2805</v>
      </c>
      <c r="H391" s="5">
        <f t="shared" si="29"/>
        <v>97.406445312499997</v>
      </c>
      <c r="I391" s="5">
        <f t="shared" si="30"/>
        <v>90</v>
      </c>
      <c r="K391" s="5">
        <v>3.0750000000000002</v>
      </c>
      <c r="L391" s="5">
        <v>85.63000000000001</v>
      </c>
      <c r="M391" s="5">
        <f t="shared" si="28"/>
        <v>32.047333333333334</v>
      </c>
      <c r="N391" s="5">
        <v>1.9100000000000001</v>
      </c>
      <c r="O391" s="5">
        <f t="shared" si="31"/>
        <v>780</v>
      </c>
      <c r="P391" s="5">
        <f t="shared" si="32"/>
        <v>90</v>
      </c>
      <c r="R391" s="5">
        <v>19.45</v>
      </c>
      <c r="S391" s="5">
        <v>-2.2499999999999999E-2</v>
      </c>
      <c r="T391" s="5">
        <v>35.521555555555558</v>
      </c>
      <c r="U391" s="2">
        <v>0.41054999999999997</v>
      </c>
      <c r="V391" s="5">
        <v>78</v>
      </c>
      <c r="W391" s="5">
        <v>78</v>
      </c>
      <c r="AA391" s="2"/>
      <c r="AJ391" s="4"/>
      <c r="AR391" s="4"/>
    </row>
    <row r="392" spans="4:44">
      <c r="D392" s="5">
        <v>-22.95</v>
      </c>
      <c r="E392" s="5">
        <v>92.50500000000001</v>
      </c>
      <c r="F392" s="5">
        <f t="shared" si="27"/>
        <v>28.11322222222222</v>
      </c>
      <c r="G392" s="2">
        <v>4.2729999999999997</v>
      </c>
      <c r="H392" s="5">
        <f t="shared" si="29"/>
        <v>97.485031249999992</v>
      </c>
      <c r="I392" s="5">
        <f t="shared" si="30"/>
        <v>90</v>
      </c>
      <c r="K392" s="5">
        <v>3.05</v>
      </c>
      <c r="L392" s="5">
        <v>85.28</v>
      </c>
      <c r="M392" s="5">
        <f t="shared" si="28"/>
        <v>32.047333333333334</v>
      </c>
      <c r="N392" s="5">
        <v>1.9320000000000002</v>
      </c>
      <c r="O392" s="5">
        <f t="shared" si="31"/>
        <v>780</v>
      </c>
      <c r="P392" s="5">
        <f t="shared" si="32"/>
        <v>90</v>
      </c>
      <c r="R392" s="5">
        <v>19.7</v>
      </c>
      <c r="S392" s="5">
        <v>-4.4999999999999998E-2</v>
      </c>
      <c r="T392" s="5">
        <v>35.521555555555558</v>
      </c>
      <c r="U392" s="2">
        <v>0.4103</v>
      </c>
      <c r="V392" s="5">
        <v>78</v>
      </c>
      <c r="W392" s="5">
        <v>78</v>
      </c>
      <c r="AA392" s="2"/>
      <c r="AJ392" s="4"/>
      <c r="AR392" s="4"/>
    </row>
    <row r="393" spans="4:44">
      <c r="D393" s="5">
        <v>-23.024999999999999</v>
      </c>
      <c r="E393" s="5">
        <v>92.432500000000005</v>
      </c>
      <c r="F393" s="5">
        <f t="shared" si="27"/>
        <v>28.11322222222222</v>
      </c>
      <c r="G393" s="2">
        <v>4.2654999999999994</v>
      </c>
      <c r="H393" s="5">
        <f t="shared" si="29"/>
        <v>97.5637578125</v>
      </c>
      <c r="I393" s="5">
        <f t="shared" si="30"/>
        <v>90</v>
      </c>
      <c r="K393" s="5">
        <v>3.0249999999999999</v>
      </c>
      <c r="L393" s="5">
        <v>84.93</v>
      </c>
      <c r="M393" s="5">
        <f t="shared" si="28"/>
        <v>32.047333333333334</v>
      </c>
      <c r="N393" s="5">
        <v>1.954</v>
      </c>
      <c r="O393" s="5">
        <f t="shared" si="31"/>
        <v>780</v>
      </c>
      <c r="P393" s="5">
        <f t="shared" si="32"/>
        <v>90</v>
      </c>
      <c r="R393" s="5">
        <v>19.95</v>
      </c>
      <c r="S393" s="5">
        <v>-6.7499999999999991E-2</v>
      </c>
      <c r="T393" s="5">
        <v>35.521555555555558</v>
      </c>
      <c r="U393" s="2">
        <v>0.41004999999999997</v>
      </c>
      <c r="V393" s="5">
        <v>78</v>
      </c>
      <c r="W393" s="5">
        <v>78</v>
      </c>
      <c r="AA393" s="2"/>
      <c r="AJ393" s="4"/>
      <c r="AR393" s="4"/>
    </row>
    <row r="394" spans="4:44">
      <c r="D394" s="5">
        <v>-23.1</v>
      </c>
      <c r="E394" s="5">
        <v>92.360000000000014</v>
      </c>
      <c r="F394" s="5">
        <f t="shared" si="27"/>
        <v>28.11322222222222</v>
      </c>
      <c r="G394" s="2">
        <v>4.258</v>
      </c>
      <c r="H394" s="5">
        <f t="shared" si="29"/>
        <v>97.64262500000001</v>
      </c>
      <c r="I394" s="5">
        <f t="shared" si="30"/>
        <v>90</v>
      </c>
      <c r="K394" s="5">
        <v>3</v>
      </c>
      <c r="L394" s="5">
        <v>84.58</v>
      </c>
      <c r="M394" s="5">
        <f t="shared" si="28"/>
        <v>32.047333333333334</v>
      </c>
      <c r="N394" s="5">
        <v>1.976</v>
      </c>
      <c r="O394" s="5">
        <f t="shared" si="31"/>
        <v>780</v>
      </c>
      <c r="P394" s="5">
        <f t="shared" si="32"/>
        <v>90</v>
      </c>
      <c r="R394" s="5">
        <v>20.2</v>
      </c>
      <c r="S394" s="5">
        <v>-0.09</v>
      </c>
      <c r="T394" s="5">
        <v>35.521555555555558</v>
      </c>
      <c r="U394" s="2">
        <v>0.4098</v>
      </c>
      <c r="V394" s="5">
        <v>78</v>
      </c>
      <c r="W394" s="5">
        <v>78</v>
      </c>
      <c r="AA394" s="2"/>
      <c r="AJ394" s="4"/>
      <c r="AR394" s="4"/>
    </row>
    <row r="395" spans="4:44">
      <c r="D395" s="5">
        <v>-23.175000000000001</v>
      </c>
      <c r="E395" s="5">
        <v>89.342500000000001</v>
      </c>
      <c r="F395" s="5">
        <f t="shared" si="27"/>
        <v>28.11322222222222</v>
      </c>
      <c r="G395" s="2">
        <v>4.2577499999999997</v>
      </c>
      <c r="H395" s="5">
        <f t="shared" si="29"/>
        <v>97.721632812500005</v>
      </c>
      <c r="I395" s="5">
        <f t="shared" si="30"/>
        <v>90</v>
      </c>
      <c r="K395" s="5">
        <v>2.9</v>
      </c>
      <c r="L395" s="5">
        <v>84.525000000000006</v>
      </c>
      <c r="M395" s="5">
        <f t="shared" si="28"/>
        <v>32.047333333333334</v>
      </c>
      <c r="N395" s="5">
        <v>1.958</v>
      </c>
      <c r="O395" s="5">
        <f t="shared" si="31"/>
        <v>780</v>
      </c>
      <c r="P395" s="5">
        <f t="shared" si="32"/>
        <v>90</v>
      </c>
      <c r="R395" s="5">
        <v>20.05</v>
      </c>
      <c r="S395" s="5">
        <v>-0.14250000000000002</v>
      </c>
      <c r="T395" s="5">
        <v>35.521555555555558</v>
      </c>
      <c r="U395" s="2">
        <v>0.40994999999999998</v>
      </c>
      <c r="V395" s="5">
        <v>78</v>
      </c>
      <c r="W395" s="5">
        <v>78</v>
      </c>
      <c r="AA395" s="2"/>
      <c r="AJ395" s="4"/>
      <c r="AR395" s="4"/>
    </row>
    <row r="396" spans="4:44">
      <c r="D396" s="5">
        <v>-23.25</v>
      </c>
      <c r="E396" s="5">
        <v>86.325000000000003</v>
      </c>
      <c r="F396" s="5">
        <f t="shared" si="27"/>
        <v>28.11322222222222</v>
      </c>
      <c r="G396" s="2">
        <v>4.2574999999999994</v>
      </c>
      <c r="H396" s="5">
        <f t="shared" si="29"/>
        <v>97.80078125</v>
      </c>
      <c r="I396" s="5">
        <f t="shared" si="30"/>
        <v>90</v>
      </c>
      <c r="K396" s="5">
        <v>2.8</v>
      </c>
      <c r="L396" s="5">
        <v>84.47</v>
      </c>
      <c r="M396" s="5">
        <f t="shared" si="28"/>
        <v>32.047333333333334</v>
      </c>
      <c r="N396" s="5">
        <v>1.9400000000000002</v>
      </c>
      <c r="O396" s="5">
        <f t="shared" si="31"/>
        <v>780</v>
      </c>
      <c r="P396" s="5">
        <f t="shared" si="32"/>
        <v>90</v>
      </c>
      <c r="R396" s="5">
        <v>19.899999999999999</v>
      </c>
      <c r="S396" s="5">
        <v>-0.19500000000000001</v>
      </c>
      <c r="T396" s="5">
        <v>35.521555555555558</v>
      </c>
      <c r="U396" s="2">
        <v>0.41010000000000002</v>
      </c>
      <c r="V396" s="5">
        <v>78</v>
      </c>
      <c r="W396" s="5">
        <v>78</v>
      </c>
      <c r="AA396" s="2"/>
      <c r="AJ396" s="4"/>
      <c r="AR396" s="4"/>
    </row>
    <row r="397" spans="4:44">
      <c r="D397" s="5">
        <v>-23.324999999999999</v>
      </c>
      <c r="E397" s="5">
        <v>83.307500000000005</v>
      </c>
      <c r="F397" s="5">
        <f t="shared" si="27"/>
        <v>28.11322222222222</v>
      </c>
      <c r="G397" s="2">
        <v>4.25725</v>
      </c>
      <c r="H397" s="5">
        <f t="shared" si="29"/>
        <v>97.880070312499996</v>
      </c>
      <c r="I397" s="5">
        <f t="shared" si="30"/>
        <v>90</v>
      </c>
      <c r="K397" s="5">
        <v>2.7</v>
      </c>
      <c r="L397" s="5">
        <v>84.414999999999992</v>
      </c>
      <c r="M397" s="5">
        <f t="shared" si="28"/>
        <v>32.047333333333334</v>
      </c>
      <c r="N397" s="5">
        <v>1.9220000000000002</v>
      </c>
      <c r="O397" s="5">
        <f t="shared" si="31"/>
        <v>780</v>
      </c>
      <c r="P397" s="5">
        <f t="shared" si="32"/>
        <v>90</v>
      </c>
      <c r="R397" s="5">
        <v>19.75</v>
      </c>
      <c r="S397" s="5">
        <v>-0.2475</v>
      </c>
      <c r="T397" s="5">
        <v>35.521555555555558</v>
      </c>
      <c r="U397" s="2">
        <v>0.41025</v>
      </c>
      <c r="V397" s="5">
        <v>78</v>
      </c>
      <c r="W397" s="5">
        <v>78</v>
      </c>
      <c r="AA397" s="2"/>
      <c r="AJ397" s="4"/>
      <c r="AR397" s="4"/>
    </row>
    <row r="398" spans="4:44">
      <c r="D398" s="5">
        <v>-23.4</v>
      </c>
      <c r="E398" s="5">
        <v>80.289999999999992</v>
      </c>
      <c r="F398" s="5">
        <f t="shared" si="27"/>
        <v>28.11322222222222</v>
      </c>
      <c r="G398" s="2">
        <v>4.2569999999999997</v>
      </c>
      <c r="H398" s="5">
        <f t="shared" si="29"/>
        <v>97.959499999999991</v>
      </c>
      <c r="I398" s="5">
        <f t="shared" si="30"/>
        <v>90</v>
      </c>
      <c r="K398" s="5">
        <v>2.6</v>
      </c>
      <c r="L398" s="5">
        <v>84.36</v>
      </c>
      <c r="M398" s="5">
        <f t="shared" si="28"/>
        <v>32.047333333333334</v>
      </c>
      <c r="N398" s="5">
        <v>1.9040000000000001</v>
      </c>
      <c r="O398" s="5">
        <f t="shared" si="31"/>
        <v>780</v>
      </c>
      <c r="P398" s="5">
        <f t="shared" si="32"/>
        <v>90</v>
      </c>
      <c r="R398" s="5">
        <v>19.600000000000001</v>
      </c>
      <c r="S398" s="5">
        <v>-0.3</v>
      </c>
      <c r="T398" s="5">
        <v>35.521555555555558</v>
      </c>
      <c r="U398" s="2">
        <v>0.41039999999999999</v>
      </c>
      <c r="V398" s="5">
        <v>78</v>
      </c>
      <c r="W398" s="5">
        <v>78</v>
      </c>
      <c r="AA398" s="2"/>
      <c r="AJ398" s="4"/>
      <c r="AR398" s="4"/>
    </row>
    <row r="399" spans="4:44">
      <c r="D399" s="5">
        <v>-23.425000000000001</v>
      </c>
      <c r="E399" s="5">
        <v>79.442499999999995</v>
      </c>
      <c r="F399" s="5">
        <f t="shared" si="27"/>
        <v>28.11322222222222</v>
      </c>
      <c r="G399" s="2">
        <v>4.2869999999999999</v>
      </c>
      <c r="H399" s="5">
        <f t="shared" si="29"/>
        <v>97.986007812499992</v>
      </c>
      <c r="I399" s="5">
        <f t="shared" si="30"/>
        <v>90</v>
      </c>
      <c r="K399" s="5">
        <v>2.5249999999999999</v>
      </c>
      <c r="L399" s="5">
        <v>84.429999999999993</v>
      </c>
      <c r="M399" s="5">
        <f t="shared" si="28"/>
        <v>32.047333333333334</v>
      </c>
      <c r="N399" s="5">
        <v>1.909</v>
      </c>
      <c r="O399" s="5">
        <f t="shared" si="31"/>
        <v>780</v>
      </c>
      <c r="P399" s="5">
        <f t="shared" si="32"/>
        <v>90</v>
      </c>
      <c r="R399" s="5">
        <v>19.524999999999999</v>
      </c>
      <c r="S399" s="5">
        <v>-0.35000000000000003</v>
      </c>
      <c r="T399" s="5">
        <v>35.521555555555558</v>
      </c>
      <c r="U399" s="2">
        <v>0.41047499999999998</v>
      </c>
      <c r="V399" s="5">
        <v>78</v>
      </c>
      <c r="W399" s="5">
        <v>78</v>
      </c>
      <c r="AA399" s="2"/>
      <c r="AJ399" s="4"/>
      <c r="AR399" s="4"/>
    </row>
    <row r="400" spans="4:44">
      <c r="D400" s="5">
        <v>-23.45</v>
      </c>
      <c r="E400" s="5">
        <v>78.594999999999999</v>
      </c>
      <c r="F400" s="5">
        <f t="shared" si="27"/>
        <v>28.11322222222222</v>
      </c>
      <c r="G400" s="2">
        <v>4.3170000000000002</v>
      </c>
      <c r="H400" s="5">
        <f t="shared" si="29"/>
        <v>98.012531249999995</v>
      </c>
      <c r="I400" s="5">
        <f t="shared" si="30"/>
        <v>90</v>
      </c>
      <c r="K400" s="5">
        <v>2.4500000000000002</v>
      </c>
      <c r="L400" s="5">
        <v>84.5</v>
      </c>
      <c r="M400" s="5">
        <f t="shared" si="28"/>
        <v>32.047333333333334</v>
      </c>
      <c r="N400" s="5">
        <v>1.9140000000000001</v>
      </c>
      <c r="O400" s="5">
        <f t="shared" si="31"/>
        <v>780</v>
      </c>
      <c r="P400" s="5">
        <f t="shared" si="32"/>
        <v>90</v>
      </c>
      <c r="R400" s="5">
        <v>19.45</v>
      </c>
      <c r="S400" s="5">
        <v>-0.4</v>
      </c>
      <c r="T400" s="5">
        <v>35.521555555555558</v>
      </c>
      <c r="U400" s="2">
        <v>0.41054999999999997</v>
      </c>
      <c r="V400" s="5">
        <v>78</v>
      </c>
      <c r="W400" s="5">
        <v>78</v>
      </c>
      <c r="AA400" s="2"/>
      <c r="AJ400" s="4"/>
      <c r="AR400" s="4"/>
    </row>
    <row r="401" spans="4:44">
      <c r="D401" s="5">
        <v>-23.475000000000001</v>
      </c>
      <c r="E401" s="5">
        <v>77.747500000000002</v>
      </c>
      <c r="F401" s="5">
        <f t="shared" si="27"/>
        <v>28.11322222222222</v>
      </c>
      <c r="G401" s="2">
        <v>4.3469999999999995</v>
      </c>
      <c r="H401" s="5">
        <f t="shared" si="29"/>
        <v>98.039070312500002</v>
      </c>
      <c r="I401" s="5">
        <f t="shared" si="30"/>
        <v>90</v>
      </c>
      <c r="K401" s="5">
        <v>2.375</v>
      </c>
      <c r="L401" s="5">
        <v>84.570000000000007</v>
      </c>
      <c r="M401" s="5">
        <f t="shared" si="28"/>
        <v>32.047333333333334</v>
      </c>
      <c r="N401" s="5">
        <v>1.9190000000000003</v>
      </c>
      <c r="O401" s="5">
        <f t="shared" si="31"/>
        <v>780</v>
      </c>
      <c r="P401" s="5">
        <f t="shared" si="32"/>
        <v>90</v>
      </c>
      <c r="R401" s="5">
        <v>19.375</v>
      </c>
      <c r="S401" s="5">
        <v>-0.44999999999999996</v>
      </c>
      <c r="T401" s="5">
        <v>35.521555555555558</v>
      </c>
      <c r="U401" s="2">
        <v>0.41062500000000002</v>
      </c>
      <c r="V401" s="5">
        <v>78</v>
      </c>
      <c r="W401" s="5">
        <v>78</v>
      </c>
      <c r="AA401" s="2"/>
      <c r="AJ401" s="4"/>
      <c r="AR401" s="4"/>
    </row>
    <row r="402" spans="4:44">
      <c r="D402" s="5">
        <v>-23.5</v>
      </c>
      <c r="E402" s="5">
        <v>76.900000000000006</v>
      </c>
      <c r="F402" s="5">
        <f t="shared" si="27"/>
        <v>28.11322222222222</v>
      </c>
      <c r="G402" s="2">
        <v>4.3769999999999998</v>
      </c>
      <c r="H402" s="5">
        <f t="shared" si="29"/>
        <v>98.065624999999997</v>
      </c>
      <c r="I402" s="5">
        <f t="shared" si="30"/>
        <v>90</v>
      </c>
      <c r="K402" s="5">
        <v>2.2999999999999998</v>
      </c>
      <c r="L402" s="5">
        <v>84.64</v>
      </c>
      <c r="M402" s="5">
        <f t="shared" si="28"/>
        <v>32.047333333333334</v>
      </c>
      <c r="N402" s="5">
        <v>1.9240000000000002</v>
      </c>
      <c r="O402" s="5">
        <f t="shared" si="31"/>
        <v>780</v>
      </c>
      <c r="P402" s="5">
        <f t="shared" si="32"/>
        <v>90</v>
      </c>
      <c r="R402" s="5">
        <v>19.3</v>
      </c>
      <c r="S402" s="5">
        <v>-0.5</v>
      </c>
      <c r="T402" s="5">
        <v>35.521555555555558</v>
      </c>
      <c r="U402" s="2">
        <v>0.41070000000000001</v>
      </c>
      <c r="V402" s="5">
        <v>78</v>
      </c>
      <c r="W402" s="5">
        <v>78</v>
      </c>
      <c r="AA402" s="2"/>
      <c r="AJ402" s="4"/>
      <c r="AR402" s="4"/>
    </row>
    <row r="403" spans="4:44">
      <c r="D403" s="5">
        <v>-23.55</v>
      </c>
      <c r="E403" s="5">
        <v>75.032499999999999</v>
      </c>
      <c r="F403" s="5">
        <f t="shared" si="27"/>
        <v>28.11322222222222</v>
      </c>
      <c r="G403" s="2">
        <v>4.3817500000000003</v>
      </c>
      <c r="H403" s="5">
        <f t="shared" si="29"/>
        <v>98.118781249999998</v>
      </c>
      <c r="I403" s="5">
        <f t="shared" si="30"/>
        <v>90</v>
      </c>
      <c r="K403" s="5">
        <v>2.25</v>
      </c>
      <c r="L403" s="5">
        <v>84.585000000000008</v>
      </c>
      <c r="M403" s="5">
        <f t="shared" si="28"/>
        <v>32.047333333333334</v>
      </c>
      <c r="N403" s="5">
        <v>1.9440000000000002</v>
      </c>
      <c r="O403" s="5">
        <f t="shared" si="31"/>
        <v>780</v>
      </c>
      <c r="P403" s="5">
        <f t="shared" si="32"/>
        <v>90</v>
      </c>
      <c r="R403" s="5">
        <v>19.324999999999999</v>
      </c>
      <c r="S403" s="5">
        <v>-0.39750000000000002</v>
      </c>
      <c r="T403" s="5">
        <v>35.521555555555558</v>
      </c>
      <c r="U403" s="2">
        <v>0.41067500000000001</v>
      </c>
      <c r="V403" s="5">
        <v>78</v>
      </c>
      <c r="W403" s="5">
        <v>78</v>
      </c>
      <c r="AA403" s="2"/>
      <c r="AJ403" s="4"/>
      <c r="AR403" s="4"/>
    </row>
    <row r="404" spans="4:44">
      <c r="D404" s="5">
        <v>-23.6</v>
      </c>
      <c r="E404" s="5">
        <v>73.164999999999992</v>
      </c>
      <c r="F404" s="5">
        <f t="shared" si="27"/>
        <v>28.11322222222222</v>
      </c>
      <c r="G404" s="2">
        <v>4.3864999999999998</v>
      </c>
      <c r="H404" s="5">
        <f t="shared" si="29"/>
        <v>98.171999999999997</v>
      </c>
      <c r="I404" s="5">
        <f t="shared" si="30"/>
        <v>90</v>
      </c>
      <c r="K404" s="5">
        <v>2.2000000000000002</v>
      </c>
      <c r="L404" s="5">
        <v>84.53</v>
      </c>
      <c r="M404" s="5">
        <f t="shared" si="28"/>
        <v>32.047333333333334</v>
      </c>
      <c r="N404" s="5">
        <v>1.9640000000000002</v>
      </c>
      <c r="O404" s="5">
        <f t="shared" si="31"/>
        <v>780</v>
      </c>
      <c r="P404" s="5">
        <f t="shared" si="32"/>
        <v>90</v>
      </c>
      <c r="R404" s="5">
        <v>19.350000000000001</v>
      </c>
      <c r="S404" s="5">
        <v>-0.29499999999999998</v>
      </c>
      <c r="T404" s="5">
        <v>35.521555555555558</v>
      </c>
      <c r="U404" s="2">
        <v>0.41065000000000002</v>
      </c>
      <c r="V404" s="5">
        <v>78</v>
      </c>
      <c r="W404" s="5">
        <v>78</v>
      </c>
      <c r="AA404" s="2"/>
      <c r="AJ404" s="4"/>
      <c r="AR404" s="4"/>
    </row>
    <row r="405" spans="4:44">
      <c r="D405" s="5">
        <v>-23.65</v>
      </c>
      <c r="E405" s="5">
        <v>71.297499999999999</v>
      </c>
      <c r="F405" s="5">
        <f t="shared" si="27"/>
        <v>28.11322222222222</v>
      </c>
      <c r="G405" s="2">
        <v>4.3912500000000003</v>
      </c>
      <c r="H405" s="5">
        <f t="shared" si="29"/>
        <v>98.225281249999995</v>
      </c>
      <c r="I405" s="5">
        <f t="shared" si="30"/>
        <v>90</v>
      </c>
      <c r="K405" s="5">
        <v>2.15</v>
      </c>
      <c r="L405" s="5">
        <v>84.474999999999994</v>
      </c>
      <c r="M405" s="5">
        <f t="shared" si="28"/>
        <v>32.047333333333334</v>
      </c>
      <c r="N405" s="5">
        <v>1.984</v>
      </c>
      <c r="O405" s="5">
        <f t="shared" si="31"/>
        <v>780</v>
      </c>
      <c r="P405" s="5">
        <f t="shared" si="32"/>
        <v>90</v>
      </c>
      <c r="R405" s="5">
        <v>19.375</v>
      </c>
      <c r="S405" s="5">
        <v>-0.1925</v>
      </c>
      <c r="T405" s="5">
        <v>35.521555555555558</v>
      </c>
      <c r="U405" s="2">
        <v>0.41062500000000002</v>
      </c>
      <c r="V405" s="5">
        <v>78</v>
      </c>
      <c r="W405" s="5">
        <v>78</v>
      </c>
      <c r="AA405" s="2"/>
      <c r="AJ405" s="4"/>
      <c r="AR405" s="4"/>
    </row>
    <row r="406" spans="4:44">
      <c r="D406" s="5">
        <v>-23.7</v>
      </c>
      <c r="E406" s="5">
        <v>69.429999999999993</v>
      </c>
      <c r="F406" s="5">
        <f t="shared" si="27"/>
        <v>28.11322222222222</v>
      </c>
      <c r="G406" s="2">
        <v>4.3959999999999999</v>
      </c>
      <c r="H406" s="5">
        <f t="shared" si="29"/>
        <v>98.278625000000005</v>
      </c>
      <c r="I406" s="5">
        <f t="shared" si="30"/>
        <v>90</v>
      </c>
      <c r="K406" s="5">
        <v>2.1</v>
      </c>
      <c r="L406" s="5">
        <v>84.42</v>
      </c>
      <c r="M406" s="5">
        <f t="shared" si="28"/>
        <v>32.047333333333334</v>
      </c>
      <c r="N406" s="5">
        <v>2.004</v>
      </c>
      <c r="O406" s="5">
        <f t="shared" si="31"/>
        <v>780</v>
      </c>
      <c r="P406" s="5">
        <f t="shared" si="32"/>
        <v>90</v>
      </c>
      <c r="R406" s="5">
        <v>19.399999999999999</v>
      </c>
      <c r="S406" s="5">
        <v>-0.09</v>
      </c>
      <c r="T406" s="5">
        <v>35.521555555555558</v>
      </c>
      <c r="U406" s="2">
        <v>0.41060000000000002</v>
      </c>
      <c r="V406" s="5">
        <v>78</v>
      </c>
      <c r="W406" s="5">
        <v>78</v>
      </c>
      <c r="AA406" s="2"/>
      <c r="AJ406" s="4"/>
      <c r="AR406" s="4"/>
    </row>
    <row r="407" spans="4:44">
      <c r="D407" s="5">
        <v>-23.75</v>
      </c>
      <c r="E407" s="5">
        <v>66.41</v>
      </c>
      <c r="F407" s="5">
        <f t="shared" si="27"/>
        <v>28.11322222222222</v>
      </c>
      <c r="G407" s="2">
        <v>4.3810000000000002</v>
      </c>
      <c r="H407" s="5">
        <f t="shared" si="29"/>
        <v>98.33203125</v>
      </c>
      <c r="I407" s="5">
        <f t="shared" si="30"/>
        <v>90</v>
      </c>
      <c r="K407" s="5">
        <v>2.0750000000000002</v>
      </c>
      <c r="L407" s="5">
        <v>84.877499999999998</v>
      </c>
      <c r="M407" s="5">
        <f t="shared" si="28"/>
        <v>32.047333333333334</v>
      </c>
      <c r="N407" s="5">
        <v>1.9930000000000001</v>
      </c>
      <c r="O407" s="5">
        <f t="shared" si="31"/>
        <v>780</v>
      </c>
      <c r="P407" s="5">
        <f t="shared" si="32"/>
        <v>90</v>
      </c>
      <c r="R407" s="5">
        <v>19.375</v>
      </c>
      <c r="S407" s="5">
        <v>-6.7499999999999991E-2</v>
      </c>
      <c r="T407" s="5">
        <v>35.521555555555558</v>
      </c>
      <c r="U407" s="2">
        <v>0.41062500000000002</v>
      </c>
      <c r="V407" s="5">
        <v>78</v>
      </c>
      <c r="W407" s="5">
        <v>78</v>
      </c>
      <c r="AA407" s="2"/>
      <c r="AJ407" s="4"/>
      <c r="AR407" s="4"/>
    </row>
    <row r="408" spans="4:44">
      <c r="D408" s="5">
        <v>-23.8</v>
      </c>
      <c r="E408" s="5">
        <v>63.39</v>
      </c>
      <c r="F408" s="5">
        <f t="shared" si="27"/>
        <v>28.11322222222222</v>
      </c>
      <c r="G408" s="2">
        <v>4.3659999999999997</v>
      </c>
      <c r="H408" s="5">
        <f t="shared" si="29"/>
        <v>98.385500000000008</v>
      </c>
      <c r="I408" s="5">
        <f t="shared" si="30"/>
        <v>90</v>
      </c>
      <c r="K408" s="5">
        <v>2.0499999999999998</v>
      </c>
      <c r="L408" s="5">
        <v>85.335000000000008</v>
      </c>
      <c r="M408" s="5">
        <f t="shared" si="28"/>
        <v>32.047333333333334</v>
      </c>
      <c r="N408" s="5">
        <v>1.982</v>
      </c>
      <c r="O408" s="5">
        <f t="shared" si="31"/>
        <v>780</v>
      </c>
      <c r="P408" s="5">
        <f t="shared" si="32"/>
        <v>90</v>
      </c>
      <c r="R408" s="5">
        <v>19.350000000000001</v>
      </c>
      <c r="S408" s="5">
        <v>-4.4999999999999998E-2</v>
      </c>
      <c r="T408" s="5">
        <v>35.521555555555558</v>
      </c>
      <c r="U408" s="2">
        <v>0.41065000000000002</v>
      </c>
      <c r="V408" s="5">
        <v>78</v>
      </c>
      <c r="W408" s="5">
        <v>78</v>
      </c>
      <c r="AA408" s="2"/>
      <c r="AJ408" s="4"/>
      <c r="AR408" s="4"/>
    </row>
    <row r="409" spans="4:44">
      <c r="D409" s="5">
        <v>-23.85</v>
      </c>
      <c r="E409" s="5">
        <v>60.37</v>
      </c>
      <c r="F409" s="5">
        <f t="shared" si="27"/>
        <v>28.11322222222222</v>
      </c>
      <c r="G409" s="2">
        <v>4.351</v>
      </c>
      <c r="H409" s="5">
        <f t="shared" si="29"/>
        <v>98.439031249999999</v>
      </c>
      <c r="I409" s="5">
        <f t="shared" si="30"/>
        <v>90</v>
      </c>
      <c r="K409" s="5">
        <v>2.0249999999999999</v>
      </c>
      <c r="L409" s="5">
        <v>85.792500000000004</v>
      </c>
      <c r="M409" s="5">
        <f t="shared" si="28"/>
        <v>32.047333333333334</v>
      </c>
      <c r="N409" s="5">
        <v>1.9709999999999999</v>
      </c>
      <c r="O409" s="5">
        <f t="shared" si="31"/>
        <v>780</v>
      </c>
      <c r="P409" s="5">
        <f t="shared" si="32"/>
        <v>90</v>
      </c>
      <c r="R409" s="5">
        <v>19.324999999999999</v>
      </c>
      <c r="S409" s="5">
        <v>-2.2499999999999999E-2</v>
      </c>
      <c r="T409" s="5">
        <v>35.521555555555558</v>
      </c>
      <c r="U409" s="2">
        <v>0.41067500000000001</v>
      </c>
      <c r="V409" s="5">
        <v>78</v>
      </c>
      <c r="W409" s="5">
        <v>78</v>
      </c>
      <c r="AA409" s="2"/>
      <c r="AJ409" s="4"/>
      <c r="AR409" s="4"/>
    </row>
    <row r="410" spans="4:44">
      <c r="D410" s="5">
        <v>-23.9</v>
      </c>
      <c r="E410" s="5">
        <v>57.35</v>
      </c>
      <c r="F410" s="5">
        <f t="shared" si="27"/>
        <v>28.11322222222222</v>
      </c>
      <c r="G410" s="2">
        <v>4.3360000000000003</v>
      </c>
      <c r="H410" s="5">
        <f t="shared" si="29"/>
        <v>98.492625000000004</v>
      </c>
      <c r="I410" s="5">
        <f t="shared" si="30"/>
        <v>90</v>
      </c>
      <c r="K410" s="5">
        <v>2</v>
      </c>
      <c r="L410" s="5">
        <v>86.25</v>
      </c>
      <c r="M410" s="5">
        <f t="shared" si="28"/>
        <v>32.047333333333334</v>
      </c>
      <c r="N410" s="5">
        <v>1.96</v>
      </c>
      <c r="O410" s="5">
        <f t="shared" si="31"/>
        <v>780</v>
      </c>
      <c r="P410" s="5">
        <f t="shared" si="32"/>
        <v>90</v>
      </c>
      <c r="R410" s="5">
        <v>19.3</v>
      </c>
      <c r="S410" s="5">
        <v>0</v>
      </c>
      <c r="T410" s="5">
        <v>35.521555555555558</v>
      </c>
      <c r="U410" s="2">
        <v>0.41070000000000001</v>
      </c>
      <c r="V410" s="5">
        <v>78</v>
      </c>
      <c r="W410" s="5">
        <v>78</v>
      </c>
      <c r="AA410" s="2"/>
      <c r="AJ410" s="4"/>
      <c r="AR410" s="4"/>
    </row>
    <row r="411" spans="4:44">
      <c r="D411" s="5">
        <v>-23.925000000000001</v>
      </c>
      <c r="E411" s="5">
        <v>58.262500000000003</v>
      </c>
      <c r="F411" s="5">
        <f t="shared" si="27"/>
        <v>28.11322222222222</v>
      </c>
      <c r="G411" s="2">
        <v>4.4352499999999999</v>
      </c>
      <c r="H411" s="5">
        <f t="shared" si="29"/>
        <v>98.519445312499997</v>
      </c>
      <c r="I411" s="5">
        <f t="shared" si="30"/>
        <v>90</v>
      </c>
      <c r="K411" s="5">
        <v>1.95</v>
      </c>
      <c r="L411" s="5">
        <v>85.664999999999992</v>
      </c>
      <c r="M411" s="5">
        <f t="shared" si="28"/>
        <v>32.047333333333334</v>
      </c>
      <c r="N411" s="5">
        <v>1.9964999999999999</v>
      </c>
      <c r="O411" s="5">
        <f t="shared" si="31"/>
        <v>780</v>
      </c>
      <c r="P411" s="5">
        <f t="shared" si="32"/>
        <v>90</v>
      </c>
      <c r="R411" s="5">
        <v>19.375</v>
      </c>
      <c r="S411" s="5">
        <v>3.1</v>
      </c>
      <c r="T411" s="5">
        <v>35.521555555555558</v>
      </c>
      <c r="U411" s="2">
        <v>0.41062500000000002</v>
      </c>
      <c r="V411" s="5">
        <v>78</v>
      </c>
      <c r="W411" s="5">
        <v>78</v>
      </c>
      <c r="AA411" s="2"/>
      <c r="AJ411" s="4"/>
      <c r="AR411" s="4"/>
    </row>
    <row r="412" spans="4:44">
      <c r="D412" s="5">
        <v>-23.95</v>
      </c>
      <c r="E412" s="5">
        <v>59.175000000000004</v>
      </c>
      <c r="F412" s="5">
        <f t="shared" si="27"/>
        <v>28.11322222222222</v>
      </c>
      <c r="G412" s="2">
        <v>4.5344999999999995</v>
      </c>
      <c r="H412" s="5">
        <f t="shared" si="29"/>
        <v>98.546281249999993</v>
      </c>
      <c r="I412" s="5">
        <f t="shared" si="30"/>
        <v>90</v>
      </c>
      <c r="K412" s="5">
        <v>1.9</v>
      </c>
      <c r="L412" s="5">
        <v>85.079999999999984</v>
      </c>
      <c r="M412" s="5">
        <f t="shared" si="28"/>
        <v>32.047333333333334</v>
      </c>
      <c r="N412" s="5">
        <v>2.0329999999999999</v>
      </c>
      <c r="O412" s="5">
        <f t="shared" si="31"/>
        <v>780</v>
      </c>
      <c r="P412" s="5">
        <f t="shared" si="32"/>
        <v>90</v>
      </c>
      <c r="R412" s="5">
        <v>19.45</v>
      </c>
      <c r="S412" s="5">
        <v>6.2</v>
      </c>
      <c r="T412" s="5">
        <v>35.521555555555558</v>
      </c>
      <c r="U412" s="2">
        <v>0.41054999999999997</v>
      </c>
      <c r="V412" s="5">
        <v>78</v>
      </c>
      <c r="W412" s="5">
        <v>78</v>
      </c>
      <c r="AA412" s="2"/>
      <c r="AJ412" s="4"/>
      <c r="AR412" s="4"/>
    </row>
    <row r="413" spans="4:44">
      <c r="D413" s="5">
        <v>-23.975000000000001</v>
      </c>
      <c r="E413" s="5">
        <v>60.087499999999999</v>
      </c>
      <c r="F413" s="5">
        <f t="shared" si="27"/>
        <v>28.11322222222222</v>
      </c>
      <c r="G413" s="2">
        <v>4.63375</v>
      </c>
      <c r="H413" s="5">
        <f t="shared" si="29"/>
        <v>98.573132812500006</v>
      </c>
      <c r="I413" s="5">
        <f t="shared" si="30"/>
        <v>90</v>
      </c>
      <c r="K413" s="5">
        <v>1.85</v>
      </c>
      <c r="L413" s="5">
        <v>84.495000000000005</v>
      </c>
      <c r="M413" s="5">
        <f t="shared" si="28"/>
        <v>32.047333333333334</v>
      </c>
      <c r="N413" s="5">
        <v>2.0695000000000001</v>
      </c>
      <c r="O413" s="5">
        <f t="shared" si="31"/>
        <v>780</v>
      </c>
      <c r="P413" s="5">
        <f t="shared" si="32"/>
        <v>90</v>
      </c>
      <c r="R413" s="5">
        <v>19.524999999999999</v>
      </c>
      <c r="S413" s="5">
        <v>9.2999999999999989</v>
      </c>
      <c r="T413" s="5">
        <v>35.521555555555558</v>
      </c>
      <c r="U413" s="2">
        <v>0.41047499999999998</v>
      </c>
      <c r="V413" s="5">
        <v>78</v>
      </c>
      <c r="W413" s="5">
        <v>78</v>
      </c>
      <c r="AA413" s="2"/>
      <c r="AJ413" s="4"/>
      <c r="AR413" s="4"/>
    </row>
    <row r="414" spans="4:44">
      <c r="D414" s="5">
        <v>-24</v>
      </c>
      <c r="E414" s="5">
        <v>61</v>
      </c>
      <c r="F414" s="5">
        <f t="shared" si="27"/>
        <v>28.11322222222222</v>
      </c>
      <c r="G414" s="2">
        <v>4.7329999999999997</v>
      </c>
      <c r="H414" s="5">
        <f t="shared" si="29"/>
        <v>98.6</v>
      </c>
      <c r="I414" s="5">
        <f t="shared" si="30"/>
        <v>90</v>
      </c>
      <c r="K414" s="5">
        <v>1.8</v>
      </c>
      <c r="L414" s="5">
        <v>83.91</v>
      </c>
      <c r="M414" s="5">
        <f t="shared" si="28"/>
        <v>32.047333333333334</v>
      </c>
      <c r="N414" s="5">
        <v>2.1059999999999999</v>
      </c>
      <c r="O414" s="5">
        <f t="shared" si="31"/>
        <v>780</v>
      </c>
      <c r="P414" s="5">
        <f t="shared" si="32"/>
        <v>90</v>
      </c>
      <c r="R414" s="5">
        <v>19.600000000000001</v>
      </c>
      <c r="S414" s="5">
        <v>12.4</v>
      </c>
      <c r="T414" s="5">
        <v>35.521555555555558</v>
      </c>
      <c r="U414" s="2">
        <v>0.41039999999999999</v>
      </c>
      <c r="V414" s="5">
        <v>78</v>
      </c>
      <c r="W414" s="5">
        <v>78</v>
      </c>
      <c r="AA414" s="2"/>
      <c r="AJ414" s="4"/>
      <c r="AR414" s="4"/>
    </row>
    <row r="415" spans="4:44">
      <c r="D415" s="5">
        <v>-23.9</v>
      </c>
      <c r="E415" s="5">
        <v>62.23</v>
      </c>
      <c r="F415" s="5">
        <f t="shared" si="27"/>
        <v>28.11322222222222</v>
      </c>
      <c r="G415" s="2">
        <v>4.6944999999999997</v>
      </c>
      <c r="H415" s="5">
        <f t="shared" si="29"/>
        <v>98.492625000000004</v>
      </c>
      <c r="I415" s="5">
        <f t="shared" si="30"/>
        <v>90</v>
      </c>
      <c r="K415" s="5">
        <v>1.85</v>
      </c>
      <c r="L415" s="5">
        <v>84.442499999999995</v>
      </c>
      <c r="M415" s="5">
        <f t="shared" si="28"/>
        <v>32.047333333333334</v>
      </c>
      <c r="N415" s="5">
        <v>2.1374999999999997</v>
      </c>
      <c r="O415" s="5">
        <f t="shared" si="31"/>
        <v>780</v>
      </c>
      <c r="P415" s="5">
        <f t="shared" si="32"/>
        <v>90</v>
      </c>
      <c r="R415" s="5">
        <v>19.850000000000001</v>
      </c>
      <c r="S415" s="5">
        <v>13.727499999999999</v>
      </c>
      <c r="T415" s="5">
        <v>35.521555555555558</v>
      </c>
      <c r="U415" s="2">
        <v>0.41015000000000001</v>
      </c>
      <c r="V415" s="5">
        <v>78</v>
      </c>
      <c r="W415" s="5">
        <v>78</v>
      </c>
      <c r="AA415" s="2"/>
      <c r="AJ415" s="4"/>
      <c r="AR415" s="4"/>
    </row>
    <row r="416" spans="4:44">
      <c r="D416" s="5">
        <v>-23.8</v>
      </c>
      <c r="E416" s="5">
        <v>63.46</v>
      </c>
      <c r="F416" s="5">
        <f t="shared" si="27"/>
        <v>28.11322222222222</v>
      </c>
      <c r="G416" s="2">
        <v>4.6559999999999997</v>
      </c>
      <c r="H416" s="5">
        <f t="shared" si="29"/>
        <v>98.385500000000008</v>
      </c>
      <c r="I416" s="5">
        <f t="shared" si="30"/>
        <v>90</v>
      </c>
      <c r="K416" s="5">
        <v>1.9</v>
      </c>
      <c r="L416" s="5">
        <v>84.974999999999994</v>
      </c>
      <c r="M416" s="5">
        <f t="shared" si="28"/>
        <v>32.047333333333334</v>
      </c>
      <c r="N416" s="5">
        <v>2.169</v>
      </c>
      <c r="O416" s="5">
        <f t="shared" si="31"/>
        <v>780</v>
      </c>
      <c r="P416" s="5">
        <f t="shared" si="32"/>
        <v>90</v>
      </c>
      <c r="R416" s="5">
        <v>20.100000000000001</v>
      </c>
      <c r="S416" s="5">
        <v>15.055</v>
      </c>
      <c r="T416" s="5">
        <v>35.521555555555558</v>
      </c>
      <c r="U416" s="2">
        <v>0.40989999999999999</v>
      </c>
      <c r="V416" s="5">
        <v>78</v>
      </c>
      <c r="W416" s="5">
        <v>78</v>
      </c>
      <c r="AA416" s="2"/>
      <c r="AJ416" s="4"/>
      <c r="AR416" s="4"/>
    </row>
    <row r="417" spans="4:44">
      <c r="D417" s="5">
        <v>-23.7</v>
      </c>
      <c r="E417" s="5">
        <v>64.69</v>
      </c>
      <c r="F417" s="5">
        <f t="shared" si="27"/>
        <v>28.11322222222222</v>
      </c>
      <c r="G417" s="2">
        <v>4.6174999999999997</v>
      </c>
      <c r="H417" s="5">
        <f t="shared" si="29"/>
        <v>98.278625000000005</v>
      </c>
      <c r="I417" s="5">
        <f t="shared" si="30"/>
        <v>90</v>
      </c>
      <c r="K417" s="5">
        <v>1.95</v>
      </c>
      <c r="L417" s="5">
        <v>85.507499999999993</v>
      </c>
      <c r="M417" s="5">
        <f t="shared" si="28"/>
        <v>32.047333333333334</v>
      </c>
      <c r="N417" s="5">
        <v>2.2004999999999999</v>
      </c>
      <c r="O417" s="5">
        <f t="shared" si="31"/>
        <v>780</v>
      </c>
      <c r="P417" s="5">
        <f t="shared" si="32"/>
        <v>90</v>
      </c>
      <c r="R417" s="5">
        <v>20.350000000000001</v>
      </c>
      <c r="S417" s="5">
        <v>16.3825</v>
      </c>
      <c r="T417" s="5">
        <v>35.521555555555558</v>
      </c>
      <c r="U417" s="2">
        <v>0.40965000000000001</v>
      </c>
      <c r="V417" s="5">
        <v>78</v>
      </c>
      <c r="W417" s="5">
        <v>78</v>
      </c>
      <c r="AA417" s="2"/>
      <c r="AJ417" s="4"/>
      <c r="AR417" s="4"/>
    </row>
    <row r="418" spans="4:44">
      <c r="D418" s="5">
        <v>-23.6</v>
      </c>
      <c r="E418" s="5">
        <v>65.92</v>
      </c>
      <c r="F418" s="5">
        <f t="shared" ref="F418:F449" si="33">$F$385-($F$385-F514)/3</f>
        <v>28.11322222222222</v>
      </c>
      <c r="G418" s="2">
        <v>4.5789999999999997</v>
      </c>
      <c r="H418" s="5">
        <f t="shared" si="29"/>
        <v>98.171999999999997</v>
      </c>
      <c r="I418" s="5">
        <f t="shared" si="30"/>
        <v>90</v>
      </c>
      <c r="K418" s="5">
        <v>2</v>
      </c>
      <c r="L418" s="5">
        <v>86.039999999999992</v>
      </c>
      <c r="M418" s="5">
        <f t="shared" ref="M418:M449" si="34">$M$385-($M$385-$M$578)/3</f>
        <v>32.047333333333334</v>
      </c>
      <c r="N418" s="5">
        <v>2.2319999999999998</v>
      </c>
      <c r="O418" s="5">
        <f t="shared" si="31"/>
        <v>780</v>
      </c>
      <c r="P418" s="5">
        <f t="shared" si="32"/>
        <v>90</v>
      </c>
      <c r="R418" s="5">
        <v>20.6</v>
      </c>
      <c r="S418" s="5">
        <v>17.71</v>
      </c>
      <c r="T418" s="5">
        <v>35.521555555555558</v>
      </c>
      <c r="U418" s="2">
        <v>0.40939999999999999</v>
      </c>
      <c r="V418" s="5">
        <v>78</v>
      </c>
      <c r="W418" s="5">
        <v>78</v>
      </c>
      <c r="AA418" s="2"/>
      <c r="AJ418" s="4"/>
      <c r="AR418" s="4"/>
    </row>
    <row r="419" spans="4:44">
      <c r="D419" s="5">
        <v>-23.274999999999999</v>
      </c>
      <c r="E419" s="5">
        <v>66.507499999999993</v>
      </c>
      <c r="F419" s="5">
        <f t="shared" si="33"/>
        <v>28.11322222222222</v>
      </c>
      <c r="G419" s="2">
        <v>4.5832499999999996</v>
      </c>
      <c r="H419" s="5">
        <f t="shared" si="29"/>
        <v>97.827195312499995</v>
      </c>
      <c r="I419" s="5">
        <f t="shared" si="30"/>
        <v>90</v>
      </c>
      <c r="K419" s="5">
        <v>2.0499999999999998</v>
      </c>
      <c r="L419" s="5">
        <v>85.764999999999986</v>
      </c>
      <c r="M419" s="5">
        <f t="shared" si="34"/>
        <v>32.047333333333334</v>
      </c>
      <c r="N419" s="5">
        <v>2.2149999999999999</v>
      </c>
      <c r="O419" s="5">
        <f t="shared" si="31"/>
        <v>780</v>
      </c>
      <c r="P419" s="5">
        <f t="shared" si="32"/>
        <v>90</v>
      </c>
      <c r="R419" s="5">
        <v>20.574999999999999</v>
      </c>
      <c r="S419" s="5">
        <v>13.3725</v>
      </c>
      <c r="T419" s="5">
        <v>35.521555555555558</v>
      </c>
      <c r="U419" s="2">
        <v>0.40942499999999998</v>
      </c>
      <c r="V419" s="5">
        <v>78</v>
      </c>
      <c r="W419" s="5">
        <v>78</v>
      </c>
      <c r="AA419" s="2"/>
      <c r="AJ419" s="4"/>
      <c r="AR419" s="4"/>
    </row>
    <row r="420" spans="4:44">
      <c r="D420" s="5">
        <v>-22.95</v>
      </c>
      <c r="E420" s="5">
        <v>67.094999999999999</v>
      </c>
      <c r="F420" s="5">
        <f t="shared" si="33"/>
        <v>28.11322222222222</v>
      </c>
      <c r="G420" s="2">
        <v>4.5875000000000004</v>
      </c>
      <c r="H420" s="5">
        <f t="shared" si="29"/>
        <v>97.485031249999992</v>
      </c>
      <c r="I420" s="5">
        <f t="shared" si="30"/>
        <v>90</v>
      </c>
      <c r="K420" s="5">
        <v>2.1</v>
      </c>
      <c r="L420" s="5">
        <v>85.49</v>
      </c>
      <c r="M420" s="5">
        <f t="shared" si="34"/>
        <v>32.047333333333334</v>
      </c>
      <c r="N420" s="5">
        <v>2.198</v>
      </c>
      <c r="O420" s="5">
        <f t="shared" si="31"/>
        <v>780</v>
      </c>
      <c r="P420" s="5">
        <f t="shared" si="32"/>
        <v>90</v>
      </c>
      <c r="R420" s="5">
        <v>20.55</v>
      </c>
      <c r="S420" s="5">
        <v>9.0350000000000001</v>
      </c>
      <c r="T420" s="5">
        <v>35.521555555555558</v>
      </c>
      <c r="U420" s="2">
        <v>0.40944999999999998</v>
      </c>
      <c r="V420" s="5">
        <v>78</v>
      </c>
      <c r="W420" s="5">
        <v>78</v>
      </c>
      <c r="AA420" s="2"/>
      <c r="AJ420" s="4"/>
      <c r="AR420" s="4"/>
    </row>
    <row r="421" spans="4:44">
      <c r="D421" s="5">
        <v>-22.625</v>
      </c>
      <c r="E421" s="5">
        <v>67.682500000000005</v>
      </c>
      <c r="F421" s="5">
        <f t="shared" si="33"/>
        <v>28.11322222222222</v>
      </c>
      <c r="G421" s="2">
        <v>4.5917500000000002</v>
      </c>
      <c r="H421" s="5">
        <f t="shared" si="29"/>
        <v>97.1455078125</v>
      </c>
      <c r="I421" s="5">
        <f t="shared" si="30"/>
        <v>90</v>
      </c>
      <c r="K421" s="5">
        <v>2.15</v>
      </c>
      <c r="L421" s="5">
        <v>85.215000000000003</v>
      </c>
      <c r="M421" s="5">
        <f t="shared" si="34"/>
        <v>32.047333333333334</v>
      </c>
      <c r="N421" s="5">
        <v>2.181</v>
      </c>
      <c r="O421" s="5">
        <f t="shared" si="31"/>
        <v>780</v>
      </c>
      <c r="P421" s="5">
        <f t="shared" si="32"/>
        <v>90</v>
      </c>
      <c r="R421" s="5">
        <v>20.524999999999999</v>
      </c>
      <c r="S421" s="5">
        <v>4.6974999999999989</v>
      </c>
      <c r="T421" s="5">
        <v>35.521555555555558</v>
      </c>
      <c r="U421" s="2">
        <v>0.40947499999999998</v>
      </c>
      <c r="V421" s="5">
        <v>78</v>
      </c>
      <c r="W421" s="5">
        <v>78</v>
      </c>
      <c r="AA421" s="2"/>
      <c r="AJ421" s="4"/>
      <c r="AR421" s="4"/>
    </row>
    <row r="422" spans="4:44">
      <c r="D422" s="5">
        <v>-22.3</v>
      </c>
      <c r="E422" s="5">
        <v>68.27</v>
      </c>
      <c r="F422" s="5">
        <f t="shared" si="33"/>
        <v>28.11322222222222</v>
      </c>
      <c r="G422" s="2">
        <v>4.5960000000000001</v>
      </c>
      <c r="H422" s="5">
        <f t="shared" si="29"/>
        <v>96.808625000000006</v>
      </c>
      <c r="I422" s="5">
        <f t="shared" si="30"/>
        <v>90</v>
      </c>
      <c r="K422" s="5">
        <v>2.2000000000000002</v>
      </c>
      <c r="L422" s="5">
        <v>84.94</v>
      </c>
      <c r="M422" s="5">
        <f t="shared" si="34"/>
        <v>32.047333333333334</v>
      </c>
      <c r="N422" s="5">
        <v>2.1640000000000001</v>
      </c>
      <c r="O422" s="5">
        <f t="shared" si="31"/>
        <v>780</v>
      </c>
      <c r="P422" s="5">
        <f t="shared" si="32"/>
        <v>90</v>
      </c>
      <c r="R422" s="5">
        <v>20.5</v>
      </c>
      <c r="S422" s="5">
        <v>0.36</v>
      </c>
      <c r="T422" s="5">
        <v>35.521555555555558</v>
      </c>
      <c r="U422" s="2">
        <v>0.40949999999999998</v>
      </c>
      <c r="V422" s="5">
        <v>78</v>
      </c>
      <c r="W422" s="5">
        <v>78</v>
      </c>
      <c r="AA422" s="2"/>
      <c r="AJ422" s="4"/>
      <c r="AR422" s="4"/>
    </row>
    <row r="423" spans="4:44">
      <c r="D423" s="5">
        <v>-21.125</v>
      </c>
      <c r="E423" s="5">
        <v>69.172499999999999</v>
      </c>
      <c r="F423" s="5">
        <f t="shared" si="33"/>
        <v>28.11322222222222</v>
      </c>
      <c r="G423" s="2">
        <v>4.5854999999999997</v>
      </c>
      <c r="H423" s="5">
        <f t="shared" si="29"/>
        <v>95.612695312499994</v>
      </c>
      <c r="I423" s="5">
        <f t="shared" si="30"/>
        <v>90</v>
      </c>
      <c r="K423" s="5">
        <v>2.2749999999999999</v>
      </c>
      <c r="L423" s="5">
        <v>82.017500000000013</v>
      </c>
      <c r="M423" s="5">
        <f t="shared" si="34"/>
        <v>32.047333333333334</v>
      </c>
      <c r="N423" s="5">
        <v>2.1492499999999999</v>
      </c>
      <c r="O423" s="5">
        <f t="shared" si="31"/>
        <v>780</v>
      </c>
      <c r="P423" s="5">
        <f t="shared" si="32"/>
        <v>90</v>
      </c>
      <c r="R423" s="5">
        <v>20.6</v>
      </c>
      <c r="S423" s="5">
        <v>-0.3025000000000001</v>
      </c>
      <c r="T423" s="5">
        <v>35.521555555555558</v>
      </c>
      <c r="U423" s="2">
        <v>0.40939999999999999</v>
      </c>
      <c r="V423" s="5">
        <v>78</v>
      </c>
      <c r="W423" s="5">
        <v>78</v>
      </c>
      <c r="AA423" s="2"/>
      <c r="AJ423" s="4"/>
      <c r="AR423" s="4"/>
    </row>
    <row r="424" spans="4:44">
      <c r="D424" s="5">
        <v>-19.95</v>
      </c>
      <c r="E424" s="5">
        <v>70.075000000000003</v>
      </c>
      <c r="F424" s="5">
        <f t="shared" si="33"/>
        <v>28.11322222222222</v>
      </c>
      <c r="G424" s="2">
        <v>4.5749999999999993</v>
      </c>
      <c r="H424" s="5">
        <f t="shared" si="29"/>
        <v>94.451281249999994</v>
      </c>
      <c r="I424" s="5">
        <f t="shared" si="30"/>
        <v>90</v>
      </c>
      <c r="K424" s="5">
        <v>2.35</v>
      </c>
      <c r="L424" s="5">
        <v>79.094999999999999</v>
      </c>
      <c r="M424" s="5">
        <f t="shared" si="34"/>
        <v>32.047333333333334</v>
      </c>
      <c r="N424" s="5">
        <v>2.1345000000000001</v>
      </c>
      <c r="O424" s="5">
        <f t="shared" si="31"/>
        <v>780</v>
      </c>
      <c r="P424" s="5">
        <f t="shared" si="32"/>
        <v>90</v>
      </c>
      <c r="R424" s="5">
        <v>20.7</v>
      </c>
      <c r="S424" s="5">
        <v>-0.96500000000000008</v>
      </c>
      <c r="T424" s="5">
        <v>35.521555555555558</v>
      </c>
      <c r="U424" s="2">
        <v>0.4093</v>
      </c>
      <c r="V424" s="5">
        <v>78</v>
      </c>
      <c r="W424" s="5">
        <v>78</v>
      </c>
      <c r="AA424" s="2"/>
      <c r="AJ424" s="4"/>
      <c r="AR424" s="4"/>
    </row>
    <row r="425" spans="4:44">
      <c r="D425" s="5">
        <v>-18.774999999999999</v>
      </c>
      <c r="E425" s="5">
        <v>70.977499999999992</v>
      </c>
      <c r="F425" s="5">
        <f t="shared" si="33"/>
        <v>28.11322222222222</v>
      </c>
      <c r="G425" s="2">
        <v>4.5644999999999998</v>
      </c>
      <c r="H425" s="5">
        <f t="shared" si="29"/>
        <v>93.324382812500005</v>
      </c>
      <c r="I425" s="5">
        <f t="shared" si="30"/>
        <v>90</v>
      </c>
      <c r="K425" s="5">
        <v>2.4249999999999998</v>
      </c>
      <c r="L425" s="5">
        <v>76.172499999999999</v>
      </c>
      <c r="M425" s="5">
        <f t="shared" si="34"/>
        <v>32.047333333333334</v>
      </c>
      <c r="N425" s="5">
        <v>2.1197499999999998</v>
      </c>
      <c r="O425" s="5">
        <f t="shared" si="31"/>
        <v>780</v>
      </c>
      <c r="P425" s="5">
        <f t="shared" si="32"/>
        <v>90</v>
      </c>
      <c r="R425" s="5">
        <v>20.8</v>
      </c>
      <c r="S425" s="5">
        <v>-1.6274999999999999</v>
      </c>
      <c r="T425" s="5">
        <v>35.521555555555558</v>
      </c>
      <c r="U425" s="2">
        <v>0.40920000000000001</v>
      </c>
      <c r="V425" s="5">
        <v>78</v>
      </c>
      <c r="W425" s="5">
        <v>78</v>
      </c>
      <c r="AA425" s="2"/>
      <c r="AJ425" s="4"/>
      <c r="AR425" s="4"/>
    </row>
    <row r="426" spans="4:44">
      <c r="D426" s="5">
        <v>-17.600000000000001</v>
      </c>
      <c r="E426" s="5">
        <v>71.88</v>
      </c>
      <c r="F426" s="5">
        <f t="shared" si="33"/>
        <v>28.11322222222222</v>
      </c>
      <c r="G426" s="2">
        <v>4.5539999999999994</v>
      </c>
      <c r="H426" s="5">
        <f t="shared" si="29"/>
        <v>92.231999999999999</v>
      </c>
      <c r="I426" s="5">
        <f t="shared" si="30"/>
        <v>90</v>
      </c>
      <c r="K426" s="5">
        <v>2.5</v>
      </c>
      <c r="L426" s="5">
        <v>73.25</v>
      </c>
      <c r="M426" s="5">
        <f t="shared" si="34"/>
        <v>32.047333333333334</v>
      </c>
      <c r="N426" s="5">
        <v>2.105</v>
      </c>
      <c r="O426" s="5">
        <f t="shared" si="31"/>
        <v>780</v>
      </c>
      <c r="P426" s="5">
        <f t="shared" si="32"/>
        <v>90</v>
      </c>
      <c r="R426" s="5">
        <v>20.9</v>
      </c>
      <c r="S426" s="5">
        <v>-2.29</v>
      </c>
      <c r="T426" s="5">
        <v>35.521555555555558</v>
      </c>
      <c r="U426" s="2">
        <v>0.40910000000000002</v>
      </c>
      <c r="V426" s="5">
        <v>78</v>
      </c>
      <c r="W426" s="5">
        <v>78</v>
      </c>
      <c r="AA426" s="2"/>
      <c r="AJ426" s="4"/>
      <c r="AR426" s="4"/>
    </row>
    <row r="427" spans="4:44">
      <c r="D427" s="5">
        <v>-17.175000000000001</v>
      </c>
      <c r="E427" s="5">
        <v>72.87</v>
      </c>
      <c r="F427" s="5">
        <f t="shared" si="33"/>
        <v>28.11322222222222</v>
      </c>
      <c r="G427" s="2">
        <v>4.5279999999999996</v>
      </c>
      <c r="H427" s="5">
        <f t="shared" si="29"/>
        <v>91.845382812500006</v>
      </c>
      <c r="I427" s="5">
        <f t="shared" si="30"/>
        <v>90</v>
      </c>
      <c r="K427" s="5">
        <v>2.7749999999999999</v>
      </c>
      <c r="L427" s="5">
        <v>70.742500000000007</v>
      </c>
      <c r="M427" s="5">
        <f t="shared" si="34"/>
        <v>32.047333333333334</v>
      </c>
      <c r="N427" s="5">
        <v>2.073</v>
      </c>
      <c r="O427" s="5">
        <f t="shared" si="31"/>
        <v>780</v>
      </c>
      <c r="P427" s="5">
        <f t="shared" si="32"/>
        <v>90</v>
      </c>
      <c r="R427" s="5">
        <v>21.05</v>
      </c>
      <c r="S427" s="5">
        <v>-2.4725000000000001</v>
      </c>
      <c r="T427" s="5">
        <v>35.521555555555558</v>
      </c>
      <c r="U427" s="2">
        <v>0.40894999999999998</v>
      </c>
      <c r="V427" s="5">
        <v>78</v>
      </c>
      <c r="W427" s="5">
        <v>78</v>
      </c>
      <c r="AA427" s="2"/>
      <c r="AJ427" s="4"/>
      <c r="AR427" s="4"/>
    </row>
    <row r="428" spans="4:44">
      <c r="D428" s="5">
        <v>-16.75</v>
      </c>
      <c r="E428" s="5">
        <v>73.859999999999985</v>
      </c>
      <c r="F428" s="5">
        <f t="shared" si="33"/>
        <v>28.11322222222222</v>
      </c>
      <c r="G428" s="2">
        <v>4.5019999999999989</v>
      </c>
      <c r="H428" s="5">
        <f t="shared" si="29"/>
        <v>91.463281249999994</v>
      </c>
      <c r="I428" s="5">
        <f t="shared" si="30"/>
        <v>90</v>
      </c>
      <c r="K428" s="5">
        <v>3.05</v>
      </c>
      <c r="L428" s="5">
        <v>68.234999999999999</v>
      </c>
      <c r="M428" s="5">
        <f t="shared" si="34"/>
        <v>32.047333333333334</v>
      </c>
      <c r="N428" s="5">
        <v>2.0409999999999999</v>
      </c>
      <c r="O428" s="5">
        <f t="shared" si="31"/>
        <v>780</v>
      </c>
      <c r="P428" s="5">
        <f t="shared" si="32"/>
        <v>90</v>
      </c>
      <c r="R428" s="5">
        <v>21.2</v>
      </c>
      <c r="S428" s="5">
        <v>-2.6550000000000002</v>
      </c>
      <c r="T428" s="5">
        <v>35.521555555555558</v>
      </c>
      <c r="U428" s="2">
        <v>0.4088</v>
      </c>
      <c r="V428" s="5">
        <v>78</v>
      </c>
      <c r="W428" s="5">
        <v>78</v>
      </c>
      <c r="AA428" s="2"/>
      <c r="AJ428" s="4"/>
      <c r="AR428" s="4"/>
    </row>
    <row r="429" spans="4:44">
      <c r="D429" s="5">
        <v>-16.324999999999999</v>
      </c>
      <c r="E429" s="5">
        <v>74.849999999999994</v>
      </c>
      <c r="F429" s="5">
        <f t="shared" si="33"/>
        <v>28.11322222222222</v>
      </c>
      <c r="G429" s="2">
        <v>4.4759999999999991</v>
      </c>
      <c r="H429" s="5">
        <f t="shared" si="29"/>
        <v>91.085695312499993</v>
      </c>
      <c r="I429" s="5">
        <f t="shared" si="30"/>
        <v>90</v>
      </c>
      <c r="K429" s="5">
        <v>3.3250000000000002</v>
      </c>
      <c r="L429" s="5">
        <v>65.727500000000006</v>
      </c>
      <c r="M429" s="5">
        <f t="shared" si="34"/>
        <v>32.047333333333334</v>
      </c>
      <c r="N429" s="5">
        <v>2.0089999999999999</v>
      </c>
      <c r="O429" s="5">
        <f t="shared" si="31"/>
        <v>780</v>
      </c>
      <c r="P429" s="5">
        <f t="shared" si="32"/>
        <v>90</v>
      </c>
      <c r="R429" s="5">
        <v>21.35</v>
      </c>
      <c r="S429" s="5">
        <v>-2.8374999999999999</v>
      </c>
      <c r="T429" s="5">
        <v>35.521555555555558</v>
      </c>
      <c r="U429" s="2">
        <v>0.40865000000000001</v>
      </c>
      <c r="V429" s="5">
        <v>78</v>
      </c>
      <c r="W429" s="5">
        <v>78</v>
      </c>
      <c r="AA429" s="2"/>
      <c r="AJ429" s="4"/>
      <c r="AR429" s="4"/>
    </row>
    <row r="430" spans="4:44">
      <c r="D430" s="5">
        <v>-15.9</v>
      </c>
      <c r="E430" s="5">
        <v>75.84</v>
      </c>
      <c r="F430" s="5">
        <f t="shared" si="33"/>
        <v>28.11322222222222</v>
      </c>
      <c r="G430" s="2">
        <v>4.4499999999999993</v>
      </c>
      <c r="H430" s="5">
        <f t="shared" si="29"/>
        <v>90.712625000000003</v>
      </c>
      <c r="I430" s="5">
        <f t="shared" si="30"/>
        <v>90</v>
      </c>
      <c r="K430" s="5">
        <v>3.6</v>
      </c>
      <c r="L430" s="5">
        <v>63.22</v>
      </c>
      <c r="M430" s="5">
        <f t="shared" si="34"/>
        <v>32.047333333333334</v>
      </c>
      <c r="N430" s="5">
        <v>1.9770000000000001</v>
      </c>
      <c r="O430" s="5">
        <f t="shared" si="31"/>
        <v>780</v>
      </c>
      <c r="P430" s="5">
        <f t="shared" si="32"/>
        <v>90</v>
      </c>
      <c r="R430" s="5">
        <v>21.5</v>
      </c>
      <c r="S430" s="5">
        <v>-3.02</v>
      </c>
      <c r="T430" s="5">
        <v>35.521555555555558</v>
      </c>
      <c r="U430" s="2">
        <v>0.40849999999999997</v>
      </c>
      <c r="V430" s="5">
        <v>78</v>
      </c>
      <c r="W430" s="5">
        <v>78</v>
      </c>
      <c r="AA430" s="2"/>
      <c r="AJ430" s="4"/>
      <c r="AR430" s="4"/>
    </row>
    <row r="431" spans="4:44">
      <c r="D431" s="5">
        <v>-15.525</v>
      </c>
      <c r="E431" s="5">
        <v>76.709999999999994</v>
      </c>
      <c r="F431" s="5">
        <f t="shared" si="33"/>
        <v>28.11322222222222</v>
      </c>
      <c r="G431" s="2">
        <v>4.4457499999999994</v>
      </c>
      <c r="H431" s="5">
        <f t="shared" si="29"/>
        <v>90.387195312499998</v>
      </c>
      <c r="I431" s="5">
        <f t="shared" si="30"/>
        <v>90</v>
      </c>
      <c r="K431" s="5">
        <v>3.6749999999999998</v>
      </c>
      <c r="L431" s="5">
        <v>61.057499999999997</v>
      </c>
      <c r="M431" s="5">
        <f t="shared" si="34"/>
        <v>32.047333333333334</v>
      </c>
      <c r="N431" s="5">
        <v>1.9720000000000002</v>
      </c>
      <c r="O431" s="5">
        <f t="shared" si="31"/>
        <v>780</v>
      </c>
      <c r="P431" s="5">
        <f t="shared" si="32"/>
        <v>90</v>
      </c>
      <c r="R431" s="5">
        <v>21.725000000000001</v>
      </c>
      <c r="S431" s="5">
        <v>-3.1150000000000002</v>
      </c>
      <c r="T431" s="5">
        <v>35.521555555555558</v>
      </c>
      <c r="U431" s="2">
        <v>0.408275</v>
      </c>
      <c r="V431" s="5">
        <v>78</v>
      </c>
      <c r="W431" s="5">
        <v>78</v>
      </c>
      <c r="AA431" s="2"/>
      <c r="AJ431" s="4"/>
      <c r="AR431" s="4"/>
    </row>
    <row r="432" spans="4:44">
      <c r="D432" s="5">
        <v>-15.15</v>
      </c>
      <c r="E432" s="5">
        <v>77.58</v>
      </c>
      <c r="F432" s="5">
        <f t="shared" si="33"/>
        <v>28.11322222222222</v>
      </c>
      <c r="G432" s="2">
        <v>4.4414999999999996</v>
      </c>
      <c r="H432" s="5">
        <f t="shared" si="29"/>
        <v>90.065281249999998</v>
      </c>
      <c r="I432" s="5">
        <f t="shared" si="30"/>
        <v>90</v>
      </c>
      <c r="K432" s="5">
        <v>3.75</v>
      </c>
      <c r="L432" s="5">
        <v>58.894999999999996</v>
      </c>
      <c r="M432" s="5">
        <f t="shared" si="34"/>
        <v>32.047333333333334</v>
      </c>
      <c r="N432" s="5">
        <v>1.9670000000000001</v>
      </c>
      <c r="O432" s="5">
        <f t="shared" si="31"/>
        <v>780</v>
      </c>
      <c r="P432" s="5">
        <f t="shared" si="32"/>
        <v>90</v>
      </c>
      <c r="R432" s="5">
        <v>21.95</v>
      </c>
      <c r="S432" s="5">
        <v>-3.21</v>
      </c>
      <c r="T432" s="5">
        <v>35.521555555555558</v>
      </c>
      <c r="U432" s="2">
        <v>0.40804999999999997</v>
      </c>
      <c r="V432" s="5">
        <v>78</v>
      </c>
      <c r="W432" s="5">
        <v>78</v>
      </c>
      <c r="AA432" s="2"/>
      <c r="AJ432" s="4"/>
      <c r="AR432" s="4"/>
    </row>
    <row r="433" spans="4:44">
      <c r="D433" s="5">
        <v>-14.775</v>
      </c>
      <c r="E433" s="5">
        <v>78.45</v>
      </c>
      <c r="F433" s="5">
        <f t="shared" si="33"/>
        <v>28.11322222222222</v>
      </c>
      <c r="G433" s="2">
        <v>4.4372499999999997</v>
      </c>
      <c r="H433" s="5">
        <f t="shared" si="29"/>
        <v>89.746882812500004</v>
      </c>
      <c r="I433" s="5">
        <f t="shared" si="30"/>
        <v>89.746882812500004</v>
      </c>
      <c r="K433" s="5">
        <v>3.8250000000000002</v>
      </c>
      <c r="L433" s="5">
        <v>56.732499999999987</v>
      </c>
      <c r="M433" s="5">
        <f t="shared" si="34"/>
        <v>32.047333333333334</v>
      </c>
      <c r="N433" s="5">
        <v>1.962</v>
      </c>
      <c r="O433" s="5">
        <f t="shared" si="31"/>
        <v>780</v>
      </c>
      <c r="P433" s="5">
        <f t="shared" si="32"/>
        <v>90</v>
      </c>
      <c r="R433" s="5">
        <v>22.175000000000001</v>
      </c>
      <c r="S433" s="5">
        <v>-3.3050000000000002</v>
      </c>
      <c r="T433" s="5">
        <v>35.521555555555558</v>
      </c>
      <c r="U433" s="2">
        <v>0.40782499999999999</v>
      </c>
      <c r="V433" s="5">
        <v>78</v>
      </c>
      <c r="W433" s="5">
        <v>78</v>
      </c>
      <c r="AA433" s="2"/>
      <c r="AJ433" s="4"/>
      <c r="AR433" s="4"/>
    </row>
    <row r="434" spans="4:44">
      <c r="D434" s="5">
        <v>-14.4</v>
      </c>
      <c r="E434" s="5">
        <v>79.320000000000007</v>
      </c>
      <c r="F434" s="5">
        <f t="shared" si="33"/>
        <v>28.11322222222222</v>
      </c>
      <c r="G434" s="2">
        <v>4.4329999999999998</v>
      </c>
      <c r="H434" s="5">
        <f t="shared" si="29"/>
        <v>89.432000000000002</v>
      </c>
      <c r="I434" s="5">
        <f t="shared" si="30"/>
        <v>89.432000000000002</v>
      </c>
      <c r="K434" s="5">
        <v>3.9</v>
      </c>
      <c r="L434" s="5">
        <v>54.57</v>
      </c>
      <c r="M434" s="5">
        <f t="shared" si="34"/>
        <v>32.047333333333334</v>
      </c>
      <c r="N434" s="5">
        <v>1.9570000000000001</v>
      </c>
      <c r="O434" s="5">
        <f t="shared" si="31"/>
        <v>780</v>
      </c>
      <c r="P434" s="5">
        <f t="shared" si="32"/>
        <v>90</v>
      </c>
      <c r="R434" s="5">
        <v>22.4</v>
      </c>
      <c r="S434" s="5">
        <v>-3.4000000000000004</v>
      </c>
      <c r="T434" s="5">
        <v>35.521555555555558</v>
      </c>
      <c r="U434" s="2">
        <v>0.40760000000000002</v>
      </c>
      <c r="V434" s="5">
        <v>78</v>
      </c>
      <c r="W434" s="5">
        <v>78</v>
      </c>
      <c r="AA434" s="2"/>
      <c r="AJ434" s="4"/>
      <c r="AR434" s="4"/>
    </row>
    <row r="435" spans="4:44">
      <c r="D435" s="5">
        <v>-14.1</v>
      </c>
      <c r="E435" s="5">
        <v>80.675000000000011</v>
      </c>
      <c r="F435" s="5">
        <f t="shared" si="33"/>
        <v>28.11322222222222</v>
      </c>
      <c r="G435" s="2">
        <v>4.3479999999999999</v>
      </c>
      <c r="H435" s="5">
        <f t="shared" si="29"/>
        <v>89.182625000000002</v>
      </c>
      <c r="I435" s="5">
        <f t="shared" si="30"/>
        <v>89.182625000000002</v>
      </c>
      <c r="K435" s="5">
        <v>4.0999999999999996</v>
      </c>
      <c r="L435" s="5">
        <v>54.387499999999996</v>
      </c>
      <c r="M435" s="5">
        <f t="shared" si="34"/>
        <v>32.047333333333334</v>
      </c>
      <c r="N435" s="5">
        <v>1.89625</v>
      </c>
      <c r="O435" s="5">
        <f t="shared" si="31"/>
        <v>780</v>
      </c>
      <c r="P435" s="5">
        <f t="shared" si="32"/>
        <v>90</v>
      </c>
      <c r="R435" s="5">
        <v>22.1</v>
      </c>
      <c r="S435" s="5">
        <v>-3.605</v>
      </c>
      <c r="T435" s="5">
        <v>35.521555555555558</v>
      </c>
      <c r="U435" s="2">
        <v>0.40789999999999998</v>
      </c>
      <c r="V435" s="5">
        <v>78</v>
      </c>
      <c r="W435" s="5">
        <v>78</v>
      </c>
      <c r="AA435" s="2"/>
      <c r="AJ435" s="4"/>
      <c r="AR435" s="4"/>
    </row>
    <row r="436" spans="4:44">
      <c r="D436" s="5">
        <v>-13.8</v>
      </c>
      <c r="E436" s="5">
        <v>82.03</v>
      </c>
      <c r="F436" s="5">
        <f t="shared" si="33"/>
        <v>28.11322222222222</v>
      </c>
      <c r="G436" s="2">
        <v>4.2629999999999999</v>
      </c>
      <c r="H436" s="5">
        <f t="shared" si="29"/>
        <v>88.935500000000005</v>
      </c>
      <c r="I436" s="5">
        <f t="shared" si="30"/>
        <v>88.935500000000005</v>
      </c>
      <c r="K436" s="5">
        <v>4.3</v>
      </c>
      <c r="L436" s="5">
        <v>54.205000000000013</v>
      </c>
      <c r="M436" s="5">
        <f t="shared" si="34"/>
        <v>32.047333333333334</v>
      </c>
      <c r="N436" s="5">
        <v>1.8354999999999999</v>
      </c>
      <c r="O436" s="5">
        <f t="shared" si="31"/>
        <v>780</v>
      </c>
      <c r="P436" s="5">
        <f t="shared" si="32"/>
        <v>90</v>
      </c>
      <c r="R436" s="5">
        <v>21.8</v>
      </c>
      <c r="S436" s="5">
        <v>-3.81</v>
      </c>
      <c r="T436" s="5">
        <v>35.521555555555558</v>
      </c>
      <c r="U436" s="2">
        <v>0.40820000000000001</v>
      </c>
      <c r="V436" s="5">
        <v>78</v>
      </c>
      <c r="W436" s="5">
        <v>78</v>
      </c>
      <c r="AA436" s="2"/>
      <c r="AJ436" s="4"/>
      <c r="AR436" s="4"/>
    </row>
    <row r="437" spans="4:44">
      <c r="D437" s="5">
        <v>-13.5</v>
      </c>
      <c r="E437" s="5">
        <v>83.384999999999991</v>
      </c>
      <c r="F437" s="5">
        <f t="shared" si="33"/>
        <v>28.11322222222222</v>
      </c>
      <c r="G437" s="2">
        <v>4.1779999999999999</v>
      </c>
      <c r="H437" s="5">
        <f t="shared" si="29"/>
        <v>88.690624999999997</v>
      </c>
      <c r="I437" s="5">
        <f t="shared" si="30"/>
        <v>88.690624999999997</v>
      </c>
      <c r="K437" s="5">
        <v>4.5</v>
      </c>
      <c r="L437" s="5">
        <v>54.022500000000008</v>
      </c>
      <c r="M437" s="5">
        <f t="shared" si="34"/>
        <v>32.047333333333334</v>
      </c>
      <c r="N437" s="5">
        <v>1.77475</v>
      </c>
      <c r="O437" s="5">
        <f t="shared" si="31"/>
        <v>780</v>
      </c>
      <c r="P437" s="5">
        <f t="shared" si="32"/>
        <v>90</v>
      </c>
      <c r="R437" s="5">
        <v>21.5</v>
      </c>
      <c r="S437" s="5">
        <v>-4.0150000000000006</v>
      </c>
      <c r="T437" s="5">
        <v>35.521555555555558</v>
      </c>
      <c r="U437" s="2">
        <v>0.40849999999999997</v>
      </c>
      <c r="V437" s="5">
        <v>78</v>
      </c>
      <c r="W437" s="5">
        <v>78</v>
      </c>
      <c r="AA437" s="2"/>
      <c r="AJ437" s="4"/>
      <c r="AR437" s="4"/>
    </row>
    <row r="438" spans="4:44">
      <c r="D438" s="5">
        <v>-13.2</v>
      </c>
      <c r="E438" s="5">
        <v>84.740000000000009</v>
      </c>
      <c r="F438" s="5">
        <f t="shared" si="33"/>
        <v>28.11322222222222</v>
      </c>
      <c r="G438" s="2">
        <v>4.093</v>
      </c>
      <c r="H438" s="5">
        <f t="shared" si="29"/>
        <v>88.448000000000008</v>
      </c>
      <c r="I438" s="5">
        <f t="shared" si="30"/>
        <v>88.448000000000008</v>
      </c>
      <c r="K438" s="5">
        <v>4.7</v>
      </c>
      <c r="L438" s="5">
        <v>53.84</v>
      </c>
      <c r="M438" s="5">
        <f t="shared" si="34"/>
        <v>32.047333333333334</v>
      </c>
      <c r="N438" s="5">
        <v>1.714</v>
      </c>
      <c r="O438" s="5">
        <f t="shared" si="31"/>
        <v>780</v>
      </c>
      <c r="P438" s="5">
        <f t="shared" si="32"/>
        <v>90</v>
      </c>
      <c r="R438" s="5">
        <v>21.2</v>
      </c>
      <c r="S438" s="5">
        <v>-4.22</v>
      </c>
      <c r="T438" s="5">
        <v>35.521555555555558</v>
      </c>
      <c r="U438" s="2">
        <v>0.4088</v>
      </c>
      <c r="V438" s="5">
        <v>78</v>
      </c>
      <c r="W438" s="5">
        <v>78</v>
      </c>
      <c r="AA438" s="2"/>
      <c r="AJ438" s="4"/>
      <c r="AR438" s="4"/>
    </row>
    <row r="439" spans="4:44">
      <c r="D439" s="5">
        <v>-12.95</v>
      </c>
      <c r="E439" s="5">
        <v>86.435000000000002</v>
      </c>
      <c r="F439" s="5">
        <f t="shared" si="33"/>
        <v>28.11322222222222</v>
      </c>
      <c r="G439" s="2">
        <v>4.0754999999999999</v>
      </c>
      <c r="H439" s="5">
        <f t="shared" si="29"/>
        <v>88.247531249999994</v>
      </c>
      <c r="I439" s="5">
        <f t="shared" si="30"/>
        <v>88.247531249999994</v>
      </c>
      <c r="K439" s="5">
        <v>5.0750000000000002</v>
      </c>
      <c r="L439" s="5">
        <v>53.597499999999997</v>
      </c>
      <c r="M439" s="5">
        <f t="shared" si="34"/>
        <v>32.047333333333334</v>
      </c>
      <c r="N439" s="5">
        <v>1.68225</v>
      </c>
      <c r="O439" s="5">
        <f t="shared" si="31"/>
        <v>780</v>
      </c>
      <c r="P439" s="5">
        <f t="shared" si="32"/>
        <v>90</v>
      </c>
      <c r="R439" s="5">
        <v>20.725000000000001</v>
      </c>
      <c r="S439" s="5">
        <v>-4.4550000000000001</v>
      </c>
      <c r="T439" s="5">
        <v>35.521555555555558</v>
      </c>
      <c r="U439" s="2">
        <v>0.409275</v>
      </c>
      <c r="V439" s="5">
        <v>78</v>
      </c>
      <c r="W439" s="5">
        <v>78</v>
      </c>
      <c r="AA439" s="2"/>
      <c r="AJ439" s="4"/>
      <c r="AR439" s="4"/>
    </row>
    <row r="440" spans="4:44">
      <c r="D440" s="5">
        <v>-12.7</v>
      </c>
      <c r="E440" s="5">
        <v>88.13</v>
      </c>
      <c r="F440" s="5">
        <f t="shared" si="33"/>
        <v>28.11322222222222</v>
      </c>
      <c r="G440" s="2">
        <v>4.0579999999999998</v>
      </c>
      <c r="H440" s="5">
        <f t="shared" si="29"/>
        <v>88.048625000000001</v>
      </c>
      <c r="I440" s="5">
        <f t="shared" si="30"/>
        <v>88.048625000000001</v>
      </c>
      <c r="K440" s="5">
        <v>5.45</v>
      </c>
      <c r="L440" s="5">
        <v>53.354999999999997</v>
      </c>
      <c r="M440" s="5">
        <f t="shared" si="34"/>
        <v>32.047333333333334</v>
      </c>
      <c r="N440" s="5">
        <v>1.6504999999999999</v>
      </c>
      <c r="O440" s="5">
        <f t="shared" si="31"/>
        <v>780</v>
      </c>
      <c r="P440" s="5">
        <f t="shared" si="32"/>
        <v>90</v>
      </c>
      <c r="R440" s="5">
        <v>20.25</v>
      </c>
      <c r="S440" s="5">
        <v>-4.6899999999999995</v>
      </c>
      <c r="T440" s="5">
        <v>35.521555555555558</v>
      </c>
      <c r="U440" s="2">
        <v>0.40975</v>
      </c>
      <c r="V440" s="5">
        <v>78</v>
      </c>
      <c r="W440" s="5">
        <v>78</v>
      </c>
      <c r="AA440" s="2"/>
      <c r="AJ440" s="4"/>
      <c r="AR440" s="4"/>
    </row>
    <row r="441" spans="4:44">
      <c r="D441" s="5">
        <v>-12.45</v>
      </c>
      <c r="E441" s="5">
        <v>89.825000000000003</v>
      </c>
      <c r="F441" s="5">
        <f t="shared" si="33"/>
        <v>28.11322222222222</v>
      </c>
      <c r="G441" s="2">
        <v>4.0404999999999998</v>
      </c>
      <c r="H441" s="5">
        <f t="shared" si="29"/>
        <v>87.85128125</v>
      </c>
      <c r="I441" s="5">
        <f t="shared" si="30"/>
        <v>87.85128125</v>
      </c>
      <c r="K441" s="5">
        <v>5.8250000000000002</v>
      </c>
      <c r="L441" s="5">
        <v>53.112500000000004</v>
      </c>
      <c r="M441" s="5">
        <f t="shared" si="34"/>
        <v>32.047333333333334</v>
      </c>
      <c r="N441" s="5">
        <v>1.6187499999999999</v>
      </c>
      <c r="O441" s="5">
        <f t="shared" si="31"/>
        <v>780</v>
      </c>
      <c r="P441" s="5">
        <f t="shared" si="32"/>
        <v>90</v>
      </c>
      <c r="R441" s="5">
        <v>19.774999999999999</v>
      </c>
      <c r="S441" s="5">
        <v>-4.9249999999999998</v>
      </c>
      <c r="T441" s="5">
        <v>35.521555555555558</v>
      </c>
      <c r="U441" s="2">
        <v>0.41022500000000001</v>
      </c>
      <c r="V441" s="5">
        <v>78</v>
      </c>
      <c r="W441" s="5">
        <v>78</v>
      </c>
      <c r="AA441" s="2"/>
      <c r="AJ441" s="4"/>
      <c r="AR441" s="4"/>
    </row>
    <row r="442" spans="4:44">
      <c r="D442" s="5">
        <v>-12.2</v>
      </c>
      <c r="E442" s="5">
        <v>91.52</v>
      </c>
      <c r="F442" s="5">
        <f t="shared" si="33"/>
        <v>28.11322222222222</v>
      </c>
      <c r="G442" s="2">
        <v>4.0229999999999997</v>
      </c>
      <c r="H442" s="5">
        <f t="shared" si="29"/>
        <v>87.655500000000004</v>
      </c>
      <c r="I442" s="5">
        <f t="shared" si="30"/>
        <v>87.655500000000004</v>
      </c>
      <c r="K442" s="5">
        <v>6.2</v>
      </c>
      <c r="L442" s="5">
        <v>52.87</v>
      </c>
      <c r="M442" s="5">
        <f t="shared" si="34"/>
        <v>32.047333333333334</v>
      </c>
      <c r="N442" s="5">
        <v>1.587</v>
      </c>
      <c r="O442" s="5">
        <f t="shared" si="31"/>
        <v>780</v>
      </c>
      <c r="P442" s="5">
        <f t="shared" si="32"/>
        <v>90</v>
      </c>
      <c r="R442" s="5">
        <v>19.3</v>
      </c>
      <c r="S442" s="5">
        <v>-5.16</v>
      </c>
      <c r="T442" s="5">
        <v>35.521555555555558</v>
      </c>
      <c r="U442" s="2">
        <v>0.41070000000000001</v>
      </c>
      <c r="V442" s="5">
        <v>78</v>
      </c>
      <c r="W442" s="5">
        <v>78</v>
      </c>
      <c r="AA442" s="2"/>
      <c r="AJ442" s="4"/>
      <c r="AR442" s="4"/>
    </row>
    <row r="443" spans="4:44">
      <c r="D443" s="5">
        <v>-11.875</v>
      </c>
      <c r="E443" s="5">
        <v>93.414999999999992</v>
      </c>
      <c r="F443" s="5">
        <f t="shared" si="33"/>
        <v>28.11322222222222</v>
      </c>
      <c r="G443" s="2">
        <v>3.9670000000000001</v>
      </c>
      <c r="H443" s="5">
        <f t="shared" si="29"/>
        <v>87.4033203125</v>
      </c>
      <c r="I443" s="5">
        <f t="shared" si="30"/>
        <v>87.4033203125</v>
      </c>
      <c r="K443" s="5">
        <v>6.55</v>
      </c>
      <c r="L443" s="5">
        <v>52.997500000000002</v>
      </c>
      <c r="M443" s="5">
        <f t="shared" si="34"/>
        <v>32.047333333333334</v>
      </c>
      <c r="N443" s="5">
        <v>1.53775</v>
      </c>
      <c r="O443" s="5">
        <f t="shared" si="31"/>
        <v>780</v>
      </c>
      <c r="P443" s="5">
        <f t="shared" si="32"/>
        <v>90</v>
      </c>
      <c r="R443" s="5">
        <v>19.324999999999999</v>
      </c>
      <c r="S443" s="5">
        <v>-5.4725000000000001</v>
      </c>
      <c r="T443" s="5">
        <v>35.521555555555558</v>
      </c>
      <c r="U443" s="2">
        <v>0.41067500000000001</v>
      </c>
      <c r="V443" s="5">
        <v>78</v>
      </c>
      <c r="W443" s="5">
        <v>78</v>
      </c>
      <c r="AA443" s="2"/>
      <c r="AJ443" s="4"/>
      <c r="AR443" s="4"/>
    </row>
    <row r="444" spans="4:44">
      <c r="D444" s="5">
        <v>-11.55</v>
      </c>
      <c r="E444" s="5">
        <v>95.309999999999988</v>
      </c>
      <c r="F444" s="5">
        <f t="shared" si="33"/>
        <v>28.11322222222222</v>
      </c>
      <c r="G444" s="2">
        <v>3.911</v>
      </c>
      <c r="H444" s="5">
        <f t="shared" si="29"/>
        <v>87.153781249999994</v>
      </c>
      <c r="I444" s="5">
        <f t="shared" si="30"/>
        <v>87.153781249999994</v>
      </c>
      <c r="K444" s="5">
        <v>6.9</v>
      </c>
      <c r="L444" s="5">
        <v>53.125</v>
      </c>
      <c r="M444" s="5">
        <f t="shared" si="34"/>
        <v>32.047333333333334</v>
      </c>
      <c r="N444" s="5">
        <v>1.4884999999999999</v>
      </c>
      <c r="O444" s="5">
        <f t="shared" si="31"/>
        <v>780</v>
      </c>
      <c r="P444" s="5">
        <f t="shared" si="32"/>
        <v>90</v>
      </c>
      <c r="R444" s="5">
        <v>19.350000000000001</v>
      </c>
      <c r="S444" s="5">
        <v>-5.7850000000000001</v>
      </c>
      <c r="T444" s="5">
        <v>35.521555555555558</v>
      </c>
      <c r="U444" s="2">
        <v>0.41065000000000002</v>
      </c>
      <c r="V444" s="5">
        <v>78</v>
      </c>
      <c r="W444" s="5">
        <v>78</v>
      </c>
      <c r="AA444" s="2"/>
      <c r="AJ444" s="4"/>
      <c r="AR444" s="4"/>
    </row>
    <row r="445" spans="4:44">
      <c r="D445" s="5">
        <v>-11.225</v>
      </c>
      <c r="E445" s="5">
        <v>97.204999999999998</v>
      </c>
      <c r="F445" s="5">
        <f t="shared" si="33"/>
        <v>28.11322222222222</v>
      </c>
      <c r="G445" s="2">
        <v>3.8550000000000004</v>
      </c>
      <c r="H445" s="5">
        <f t="shared" si="29"/>
        <v>86.906882812500001</v>
      </c>
      <c r="I445" s="5">
        <f t="shared" si="30"/>
        <v>86.906882812500001</v>
      </c>
      <c r="K445" s="5">
        <v>7.25</v>
      </c>
      <c r="L445" s="5">
        <v>53.252499999999998</v>
      </c>
      <c r="M445" s="5">
        <f t="shared" si="34"/>
        <v>32.047333333333334</v>
      </c>
      <c r="N445" s="5">
        <v>1.4392500000000001</v>
      </c>
      <c r="O445" s="5">
        <f t="shared" si="31"/>
        <v>780</v>
      </c>
      <c r="P445" s="5">
        <f t="shared" si="32"/>
        <v>90</v>
      </c>
      <c r="R445" s="5">
        <v>19.375</v>
      </c>
      <c r="S445" s="5">
        <v>-6.0975000000000001</v>
      </c>
      <c r="T445" s="5">
        <v>35.521555555555558</v>
      </c>
      <c r="U445" s="2">
        <v>0.41062500000000002</v>
      </c>
      <c r="V445" s="5">
        <v>78</v>
      </c>
      <c r="W445" s="5">
        <v>78</v>
      </c>
      <c r="AA445" s="2"/>
      <c r="AJ445" s="4"/>
      <c r="AR445" s="4"/>
    </row>
    <row r="446" spans="4:44">
      <c r="D446" s="5">
        <v>-10.9</v>
      </c>
      <c r="E446" s="5">
        <v>99.1</v>
      </c>
      <c r="F446" s="5">
        <f t="shared" si="33"/>
        <v>28.11322222222222</v>
      </c>
      <c r="G446" s="2">
        <v>3.7990000000000004</v>
      </c>
      <c r="H446" s="5">
        <f t="shared" si="29"/>
        <v>86.662625000000006</v>
      </c>
      <c r="I446" s="5">
        <f t="shared" si="30"/>
        <v>86.662625000000006</v>
      </c>
      <c r="K446" s="5">
        <v>7.6</v>
      </c>
      <c r="L446" s="5">
        <v>53.38</v>
      </c>
      <c r="M446" s="5">
        <f t="shared" si="34"/>
        <v>32.047333333333334</v>
      </c>
      <c r="N446" s="5">
        <v>1.3900000000000001</v>
      </c>
      <c r="O446" s="5">
        <f t="shared" si="31"/>
        <v>780</v>
      </c>
      <c r="P446" s="5">
        <f t="shared" si="32"/>
        <v>90</v>
      </c>
      <c r="R446" s="5">
        <v>19.399999999999999</v>
      </c>
      <c r="S446" s="5">
        <v>-6.41</v>
      </c>
      <c r="T446" s="5">
        <v>35.521555555555558</v>
      </c>
      <c r="U446" s="2">
        <v>0.41060000000000002</v>
      </c>
      <c r="V446" s="5">
        <v>78</v>
      </c>
      <c r="W446" s="5">
        <v>78</v>
      </c>
      <c r="AA446" s="2"/>
      <c r="AJ446" s="4"/>
      <c r="AR446" s="4"/>
    </row>
    <row r="447" spans="4:44">
      <c r="D447" s="5">
        <v>-10.775</v>
      </c>
      <c r="E447" s="5">
        <v>95.962499999999991</v>
      </c>
      <c r="F447" s="5">
        <f t="shared" si="33"/>
        <v>28.11322222222222</v>
      </c>
      <c r="G447" s="2">
        <v>3.8182500000000004</v>
      </c>
      <c r="H447" s="5">
        <f t="shared" si="29"/>
        <v>86.569382812499995</v>
      </c>
      <c r="I447" s="5">
        <f t="shared" si="30"/>
        <v>86.569382812499995</v>
      </c>
      <c r="K447" s="5">
        <v>7.7249999999999996</v>
      </c>
      <c r="L447" s="5">
        <v>54.022500000000008</v>
      </c>
      <c r="M447" s="5">
        <f t="shared" si="34"/>
        <v>32.047333333333334</v>
      </c>
      <c r="N447" s="5">
        <v>1.3605</v>
      </c>
      <c r="O447" s="5">
        <f t="shared" si="31"/>
        <v>780</v>
      </c>
      <c r="P447" s="5">
        <f t="shared" si="32"/>
        <v>90</v>
      </c>
      <c r="R447" s="5">
        <v>19.100000000000001</v>
      </c>
      <c r="S447" s="5">
        <v>-6.1475</v>
      </c>
      <c r="T447" s="5">
        <v>35.521555555555558</v>
      </c>
      <c r="U447" s="2">
        <v>0.41089999999999999</v>
      </c>
      <c r="V447" s="5">
        <v>78</v>
      </c>
      <c r="W447" s="5">
        <v>78</v>
      </c>
      <c r="AA447" s="2"/>
      <c r="AJ447" s="4"/>
      <c r="AR447" s="4"/>
    </row>
    <row r="448" spans="4:44">
      <c r="D448" s="5">
        <v>-10.65</v>
      </c>
      <c r="E448" s="5">
        <v>92.824999999999989</v>
      </c>
      <c r="F448" s="5">
        <f t="shared" si="33"/>
        <v>28.11322222222222</v>
      </c>
      <c r="G448" s="2">
        <v>3.8375000000000004</v>
      </c>
      <c r="H448" s="5">
        <f t="shared" si="29"/>
        <v>86.476531249999994</v>
      </c>
      <c r="I448" s="5">
        <f t="shared" si="30"/>
        <v>86.476531249999994</v>
      </c>
      <c r="K448" s="5">
        <v>7.85</v>
      </c>
      <c r="L448" s="5">
        <v>54.664999999999999</v>
      </c>
      <c r="M448" s="5">
        <f t="shared" si="34"/>
        <v>32.047333333333334</v>
      </c>
      <c r="N448" s="5">
        <v>1.3310000000000002</v>
      </c>
      <c r="O448" s="5">
        <f t="shared" si="31"/>
        <v>780</v>
      </c>
      <c r="P448" s="5">
        <f t="shared" si="32"/>
        <v>90</v>
      </c>
      <c r="R448" s="5">
        <v>18.8</v>
      </c>
      <c r="S448" s="5">
        <v>-5.8849999999999998</v>
      </c>
      <c r="T448" s="5">
        <v>35.521555555555558</v>
      </c>
      <c r="U448" s="2">
        <v>0.41120000000000001</v>
      </c>
      <c r="V448" s="5">
        <v>78</v>
      </c>
      <c r="W448" s="5">
        <v>78</v>
      </c>
      <c r="AA448" s="2"/>
      <c r="AJ448" s="4"/>
      <c r="AR448" s="4"/>
    </row>
    <row r="449" spans="4:44">
      <c r="D449" s="5">
        <v>-10.525</v>
      </c>
      <c r="E449" s="5">
        <v>89.6875</v>
      </c>
      <c r="F449" s="5">
        <f t="shared" si="33"/>
        <v>28.11322222222222</v>
      </c>
      <c r="G449" s="2">
        <v>3.8567500000000003</v>
      </c>
      <c r="H449" s="5">
        <f t="shared" si="29"/>
        <v>86.3840703125</v>
      </c>
      <c r="I449" s="5">
        <f t="shared" si="30"/>
        <v>86.3840703125</v>
      </c>
      <c r="K449" s="5">
        <v>7.9749999999999996</v>
      </c>
      <c r="L449" s="5">
        <v>55.30749999999999</v>
      </c>
      <c r="M449" s="5">
        <f t="shared" si="34"/>
        <v>32.047333333333334</v>
      </c>
      <c r="N449" s="5">
        <v>1.3015000000000001</v>
      </c>
      <c r="O449" s="5">
        <f t="shared" si="31"/>
        <v>780</v>
      </c>
      <c r="P449" s="5">
        <f t="shared" si="32"/>
        <v>90</v>
      </c>
      <c r="R449" s="5">
        <v>18.5</v>
      </c>
      <c r="S449" s="5">
        <v>-5.6225000000000005</v>
      </c>
      <c r="T449" s="5">
        <v>35.521555555555558</v>
      </c>
      <c r="U449" s="2">
        <v>0.41149999999999998</v>
      </c>
      <c r="V449" s="5">
        <v>78</v>
      </c>
      <c r="W449" s="5">
        <v>78</v>
      </c>
      <c r="AA449" s="2"/>
      <c r="AJ449" s="4"/>
      <c r="AR449" s="4"/>
    </row>
    <row r="450" spans="4:44">
      <c r="D450" s="5">
        <v>-10.4</v>
      </c>
      <c r="E450" s="5">
        <v>86.55</v>
      </c>
      <c r="F450" s="5">
        <f t="shared" ref="F450:F481" si="35">$F$385-($F$385-F546)/3</f>
        <v>28.11322222222222</v>
      </c>
      <c r="G450" s="2">
        <v>3.8760000000000003</v>
      </c>
      <c r="H450" s="5">
        <f t="shared" si="29"/>
        <v>86.292000000000002</v>
      </c>
      <c r="I450" s="5">
        <f t="shared" si="30"/>
        <v>86.292000000000002</v>
      </c>
      <c r="K450" s="5">
        <v>8.1</v>
      </c>
      <c r="L450" s="5">
        <v>55.949999999999996</v>
      </c>
      <c r="M450" s="5">
        <f t="shared" ref="M450:M481" si="36">$M$385-($M$385-$M$578)/3</f>
        <v>32.047333333333334</v>
      </c>
      <c r="N450" s="5">
        <v>1.272</v>
      </c>
      <c r="O450" s="5">
        <f t="shared" si="31"/>
        <v>780</v>
      </c>
      <c r="P450" s="5">
        <f t="shared" si="32"/>
        <v>90</v>
      </c>
      <c r="R450" s="5">
        <v>18.2</v>
      </c>
      <c r="S450" s="5">
        <v>-5.36</v>
      </c>
      <c r="T450" s="5">
        <v>35.521555555555558</v>
      </c>
      <c r="U450" s="2">
        <v>0.4118</v>
      </c>
      <c r="V450" s="5">
        <v>78</v>
      </c>
      <c r="W450" s="5">
        <v>78</v>
      </c>
      <c r="AA450" s="2"/>
      <c r="AJ450" s="4"/>
      <c r="AR450" s="4"/>
    </row>
    <row r="451" spans="4:44">
      <c r="D451" s="5">
        <v>-10.6</v>
      </c>
      <c r="E451" s="5">
        <v>86.004999999999995</v>
      </c>
      <c r="F451" s="5">
        <f t="shared" si="35"/>
        <v>28.11322222222222</v>
      </c>
      <c r="G451" s="2">
        <v>3.8845000000000005</v>
      </c>
      <c r="H451" s="5">
        <f t="shared" ref="H451:H514" si="37">IF(D451&lt;0,0.0125*D451^2-0.475*D451+80,80)</f>
        <v>86.439499999999995</v>
      </c>
      <c r="I451" s="5">
        <f t="shared" ref="I451:I514" si="38">IF(H451&lt;90,H451,90)</f>
        <v>86.439499999999995</v>
      </c>
      <c r="K451" s="5">
        <v>8.4250000000000007</v>
      </c>
      <c r="L451" s="5">
        <v>58.305</v>
      </c>
      <c r="M451" s="5">
        <f t="shared" si="36"/>
        <v>32.047333333333334</v>
      </c>
      <c r="N451" s="5">
        <v>1.2350000000000001</v>
      </c>
      <c r="O451" s="5">
        <f t="shared" ref="O451:O514" si="39">IF(K451&lt;0,0.0125*K451^2-0.475*K451+80,780)</f>
        <v>780</v>
      </c>
      <c r="P451" s="5">
        <f t="shared" ref="P451:P514" si="40">IF(O451&lt;90,O451,90)</f>
        <v>90</v>
      </c>
      <c r="R451" s="5">
        <v>18.175000000000001</v>
      </c>
      <c r="S451" s="5">
        <v>-4.54</v>
      </c>
      <c r="T451" s="5">
        <v>35.521555555555558</v>
      </c>
      <c r="U451" s="2">
        <v>0.411825</v>
      </c>
      <c r="V451" s="5">
        <v>78</v>
      </c>
      <c r="W451" s="5">
        <v>78</v>
      </c>
      <c r="AA451" s="2"/>
      <c r="AJ451" s="4"/>
      <c r="AR451" s="4"/>
    </row>
    <row r="452" spans="4:44">
      <c r="D452" s="5">
        <v>-10.8</v>
      </c>
      <c r="E452" s="5">
        <v>85.46</v>
      </c>
      <c r="F452" s="5">
        <f t="shared" si="35"/>
        <v>28.11322222222222</v>
      </c>
      <c r="G452" s="2">
        <v>3.8930000000000002</v>
      </c>
      <c r="H452" s="5">
        <f t="shared" si="37"/>
        <v>86.587999999999994</v>
      </c>
      <c r="I452" s="5">
        <f t="shared" si="38"/>
        <v>86.587999999999994</v>
      </c>
      <c r="K452" s="5">
        <v>8.75</v>
      </c>
      <c r="L452" s="5">
        <v>60.66</v>
      </c>
      <c r="M452" s="5">
        <f t="shared" si="36"/>
        <v>32.047333333333334</v>
      </c>
      <c r="N452" s="5">
        <v>1.198</v>
      </c>
      <c r="O452" s="5">
        <f t="shared" si="39"/>
        <v>780</v>
      </c>
      <c r="P452" s="5">
        <f t="shared" si="40"/>
        <v>90</v>
      </c>
      <c r="R452" s="5">
        <v>18.149999999999999</v>
      </c>
      <c r="S452" s="5">
        <v>-3.7199999999999998</v>
      </c>
      <c r="T452" s="5">
        <v>35.521555555555558</v>
      </c>
      <c r="U452" s="2">
        <v>0.41184999999999999</v>
      </c>
      <c r="V452" s="5">
        <v>78</v>
      </c>
      <c r="W452" s="5">
        <v>78</v>
      </c>
      <c r="AA452" s="2"/>
      <c r="AJ452" s="4"/>
      <c r="AR452" s="4"/>
    </row>
    <row r="453" spans="4:44">
      <c r="D453" s="5">
        <v>-11</v>
      </c>
      <c r="E453" s="5">
        <v>84.914999999999992</v>
      </c>
      <c r="F453" s="5">
        <f t="shared" si="35"/>
        <v>28.11322222222222</v>
      </c>
      <c r="G453" s="2">
        <v>3.9015</v>
      </c>
      <c r="H453" s="5">
        <f t="shared" si="37"/>
        <v>86.737499999999997</v>
      </c>
      <c r="I453" s="5">
        <f t="shared" si="38"/>
        <v>86.737499999999997</v>
      </c>
      <c r="K453" s="5">
        <v>9.0749999999999993</v>
      </c>
      <c r="L453" s="5">
        <v>63.015000000000001</v>
      </c>
      <c r="M453" s="5">
        <f t="shared" si="36"/>
        <v>32.047333333333334</v>
      </c>
      <c r="N453" s="5">
        <v>1.161</v>
      </c>
      <c r="O453" s="5">
        <f t="shared" si="39"/>
        <v>780</v>
      </c>
      <c r="P453" s="5">
        <f t="shared" si="40"/>
        <v>90</v>
      </c>
      <c r="R453" s="5">
        <v>18.125</v>
      </c>
      <c r="S453" s="5">
        <v>-2.9</v>
      </c>
      <c r="T453" s="5">
        <v>35.521555555555558</v>
      </c>
      <c r="U453" s="2">
        <v>0.41187499999999999</v>
      </c>
      <c r="V453" s="5">
        <v>78</v>
      </c>
      <c r="W453" s="5">
        <v>78</v>
      </c>
      <c r="AA453" s="2"/>
      <c r="AJ453" s="4"/>
      <c r="AR453" s="4"/>
    </row>
    <row r="454" spans="4:44">
      <c r="D454" s="5">
        <v>-11.2</v>
      </c>
      <c r="E454" s="5">
        <v>84.36999999999999</v>
      </c>
      <c r="F454" s="5">
        <f t="shared" si="35"/>
        <v>28.11322222222222</v>
      </c>
      <c r="G454" s="2">
        <v>3.91</v>
      </c>
      <c r="H454" s="5">
        <f t="shared" si="37"/>
        <v>86.888000000000005</v>
      </c>
      <c r="I454" s="5">
        <f t="shared" si="38"/>
        <v>86.888000000000005</v>
      </c>
      <c r="K454" s="5">
        <v>9.4</v>
      </c>
      <c r="L454" s="5">
        <v>65.37</v>
      </c>
      <c r="M454" s="5">
        <f t="shared" si="36"/>
        <v>32.047333333333334</v>
      </c>
      <c r="N454" s="5">
        <v>1.1240000000000001</v>
      </c>
      <c r="O454" s="5">
        <f t="shared" si="39"/>
        <v>780</v>
      </c>
      <c r="P454" s="5">
        <f t="shared" si="40"/>
        <v>90</v>
      </c>
      <c r="R454" s="5">
        <v>18.100000000000001</v>
      </c>
      <c r="S454" s="5">
        <v>-2.08</v>
      </c>
      <c r="T454" s="5">
        <v>35.521555555555558</v>
      </c>
      <c r="U454" s="2">
        <v>0.41189999999999999</v>
      </c>
      <c r="V454" s="5">
        <v>78</v>
      </c>
      <c r="W454" s="5">
        <v>78</v>
      </c>
      <c r="AA454" s="2"/>
      <c r="AJ454" s="4"/>
      <c r="AR454" s="4"/>
    </row>
    <row r="455" spans="4:44">
      <c r="D455" s="5">
        <v>-11.525</v>
      </c>
      <c r="E455" s="5">
        <v>86.86</v>
      </c>
      <c r="F455" s="5">
        <f t="shared" si="35"/>
        <v>28.11322222222222</v>
      </c>
      <c r="G455" s="2">
        <v>3.9290000000000003</v>
      </c>
      <c r="H455" s="5">
        <f t="shared" si="37"/>
        <v>87.1346953125</v>
      </c>
      <c r="I455" s="5">
        <f t="shared" si="38"/>
        <v>87.1346953125</v>
      </c>
      <c r="K455" s="5">
        <v>9.5250000000000004</v>
      </c>
      <c r="L455" s="5">
        <v>68.36</v>
      </c>
      <c r="M455" s="5">
        <f t="shared" si="36"/>
        <v>32.047333333333334</v>
      </c>
      <c r="N455" s="5">
        <v>1.1187500000000001</v>
      </c>
      <c r="O455" s="5">
        <f t="shared" si="39"/>
        <v>780</v>
      </c>
      <c r="P455" s="5">
        <f t="shared" si="40"/>
        <v>90</v>
      </c>
      <c r="R455" s="5">
        <v>18.225000000000001</v>
      </c>
      <c r="S455" s="5">
        <v>-0.97999999999999987</v>
      </c>
      <c r="T455" s="5">
        <v>35.521555555555558</v>
      </c>
      <c r="U455" s="2">
        <v>0.411775</v>
      </c>
      <c r="V455" s="5">
        <v>78</v>
      </c>
      <c r="W455" s="5">
        <v>78</v>
      </c>
      <c r="AA455" s="2"/>
      <c r="AJ455" s="4"/>
      <c r="AR455" s="4"/>
    </row>
    <row r="456" spans="4:44">
      <c r="D456" s="5">
        <v>-11.85</v>
      </c>
      <c r="E456" s="5">
        <v>89.35</v>
      </c>
      <c r="F456" s="5">
        <f t="shared" si="35"/>
        <v>28.11322222222222</v>
      </c>
      <c r="G456" s="2">
        <v>3.948</v>
      </c>
      <c r="H456" s="5">
        <f t="shared" si="37"/>
        <v>87.384031249999992</v>
      </c>
      <c r="I456" s="5">
        <f t="shared" si="38"/>
        <v>87.384031249999992</v>
      </c>
      <c r="K456" s="5">
        <v>9.65</v>
      </c>
      <c r="L456" s="5">
        <v>71.349999999999994</v>
      </c>
      <c r="M456" s="5">
        <f t="shared" si="36"/>
        <v>32.047333333333334</v>
      </c>
      <c r="N456" s="5">
        <v>1.1135000000000002</v>
      </c>
      <c r="O456" s="5">
        <f t="shared" si="39"/>
        <v>780</v>
      </c>
      <c r="P456" s="5">
        <f t="shared" si="40"/>
        <v>90</v>
      </c>
      <c r="R456" s="5">
        <v>18.350000000000001</v>
      </c>
      <c r="S456" s="5">
        <v>0.12000000000000011</v>
      </c>
      <c r="T456" s="5">
        <v>35.521555555555558</v>
      </c>
      <c r="U456" s="2">
        <v>0.41165000000000002</v>
      </c>
      <c r="V456" s="5">
        <v>78</v>
      </c>
      <c r="W456" s="5">
        <v>78</v>
      </c>
      <c r="AA456" s="2"/>
      <c r="AJ456" s="4"/>
      <c r="AR456" s="4"/>
    </row>
    <row r="457" spans="4:44">
      <c r="D457" s="5">
        <v>-12.175000000000001</v>
      </c>
      <c r="E457" s="5">
        <v>91.839999999999989</v>
      </c>
      <c r="F457" s="5">
        <f t="shared" si="35"/>
        <v>28.11322222222222</v>
      </c>
      <c r="G457" s="2">
        <v>3.9670000000000001</v>
      </c>
      <c r="H457" s="5">
        <f t="shared" si="37"/>
        <v>87.636007812499997</v>
      </c>
      <c r="I457" s="5">
        <f t="shared" si="38"/>
        <v>87.636007812499997</v>
      </c>
      <c r="K457" s="5">
        <v>9.7750000000000004</v>
      </c>
      <c r="L457" s="5">
        <v>74.339999999999989</v>
      </c>
      <c r="M457" s="5">
        <f t="shared" si="36"/>
        <v>32.047333333333334</v>
      </c>
      <c r="N457" s="5">
        <v>1.10825</v>
      </c>
      <c r="O457" s="5">
        <f t="shared" si="39"/>
        <v>780</v>
      </c>
      <c r="P457" s="5">
        <f t="shared" si="40"/>
        <v>90</v>
      </c>
      <c r="R457" s="5">
        <v>18.475000000000001</v>
      </c>
      <c r="S457" s="5">
        <v>1.22</v>
      </c>
      <c r="T457" s="5">
        <v>35.521555555555558</v>
      </c>
      <c r="U457" s="2">
        <v>0.41152499999999997</v>
      </c>
      <c r="V457" s="5">
        <v>78</v>
      </c>
      <c r="W457" s="5">
        <v>78</v>
      </c>
      <c r="AA457" s="2"/>
      <c r="AJ457" s="4"/>
      <c r="AR457" s="4"/>
    </row>
    <row r="458" spans="4:44">
      <c r="D458" s="5">
        <v>-12.5</v>
      </c>
      <c r="E458" s="5">
        <v>94.33</v>
      </c>
      <c r="F458" s="5">
        <f t="shared" si="35"/>
        <v>28.11322222222222</v>
      </c>
      <c r="G458" s="2">
        <v>3.9860000000000002</v>
      </c>
      <c r="H458" s="5">
        <f t="shared" si="37"/>
        <v>87.890625</v>
      </c>
      <c r="I458" s="5">
        <f t="shared" si="38"/>
        <v>87.890625</v>
      </c>
      <c r="K458" s="5">
        <v>9.9</v>
      </c>
      <c r="L458" s="5">
        <v>77.33</v>
      </c>
      <c r="M458" s="5">
        <f t="shared" si="36"/>
        <v>32.047333333333334</v>
      </c>
      <c r="N458" s="5">
        <v>1.103</v>
      </c>
      <c r="O458" s="5">
        <f t="shared" si="39"/>
        <v>780</v>
      </c>
      <c r="P458" s="5">
        <f t="shared" si="40"/>
        <v>90</v>
      </c>
      <c r="R458" s="5">
        <v>18.600000000000001</v>
      </c>
      <c r="S458" s="5">
        <v>2.3200000000000003</v>
      </c>
      <c r="T458" s="5">
        <v>35.521555555555558</v>
      </c>
      <c r="U458" s="2">
        <v>0.41139999999999999</v>
      </c>
      <c r="V458" s="5">
        <v>78</v>
      </c>
      <c r="W458" s="5">
        <v>78</v>
      </c>
      <c r="AA458" s="2"/>
      <c r="AJ458" s="4"/>
      <c r="AR458" s="4"/>
    </row>
    <row r="459" spans="4:44">
      <c r="D459" s="5">
        <v>-12.725</v>
      </c>
      <c r="E459" s="5">
        <v>95.002499999999998</v>
      </c>
      <c r="F459" s="5">
        <f t="shared" si="35"/>
        <v>28.11322222222222</v>
      </c>
      <c r="G459" s="2">
        <v>4.0092499999999998</v>
      </c>
      <c r="H459" s="5">
        <f t="shared" si="37"/>
        <v>88.068445312500003</v>
      </c>
      <c r="I459" s="5">
        <f t="shared" si="38"/>
        <v>88.068445312500003</v>
      </c>
      <c r="K459" s="5">
        <v>9.9749999999999996</v>
      </c>
      <c r="L459" s="5">
        <v>84.657499999999999</v>
      </c>
      <c r="M459" s="5">
        <f t="shared" si="36"/>
        <v>32.047333333333334</v>
      </c>
      <c r="N459" s="5">
        <v>1.0862499999999999</v>
      </c>
      <c r="O459" s="5">
        <f t="shared" si="39"/>
        <v>780</v>
      </c>
      <c r="P459" s="5">
        <f t="shared" si="40"/>
        <v>90</v>
      </c>
      <c r="R459" s="5">
        <v>18.8</v>
      </c>
      <c r="S459" s="5">
        <v>8.4824999999999999</v>
      </c>
      <c r="T459" s="5">
        <v>35.521555555555558</v>
      </c>
      <c r="U459" s="2">
        <v>0.41120000000000001</v>
      </c>
      <c r="V459" s="5">
        <v>78</v>
      </c>
      <c r="W459" s="5">
        <v>78</v>
      </c>
      <c r="AA459" s="2"/>
      <c r="AJ459" s="4"/>
      <c r="AR459" s="4"/>
    </row>
    <row r="460" spans="4:44">
      <c r="D460" s="5">
        <v>-12.95</v>
      </c>
      <c r="E460" s="5">
        <v>95.674999999999983</v>
      </c>
      <c r="F460" s="5">
        <f t="shared" si="35"/>
        <v>28.11322222222222</v>
      </c>
      <c r="G460" s="2">
        <v>4.0324999999999998</v>
      </c>
      <c r="H460" s="5">
        <f t="shared" si="37"/>
        <v>88.247531249999994</v>
      </c>
      <c r="I460" s="5">
        <f t="shared" si="38"/>
        <v>88.247531249999994</v>
      </c>
      <c r="K460" s="5">
        <v>10.050000000000001</v>
      </c>
      <c r="L460" s="5">
        <v>91.984999999999985</v>
      </c>
      <c r="M460" s="5">
        <f t="shared" si="36"/>
        <v>32.047333333333334</v>
      </c>
      <c r="N460" s="5">
        <v>1.0695000000000001</v>
      </c>
      <c r="O460" s="5">
        <f t="shared" si="39"/>
        <v>780</v>
      </c>
      <c r="P460" s="5">
        <f t="shared" si="40"/>
        <v>90</v>
      </c>
      <c r="R460" s="5">
        <v>19</v>
      </c>
      <c r="S460" s="5">
        <v>14.645</v>
      </c>
      <c r="T460" s="5">
        <v>35.521555555555558</v>
      </c>
      <c r="U460" s="2">
        <v>0.41099999999999998</v>
      </c>
      <c r="V460" s="5">
        <v>78</v>
      </c>
      <c r="W460" s="5">
        <v>78</v>
      </c>
      <c r="AA460" s="2"/>
      <c r="AJ460" s="4"/>
      <c r="AR460" s="4"/>
    </row>
    <row r="461" spans="4:44">
      <c r="D461" s="5">
        <v>-13.175000000000001</v>
      </c>
      <c r="E461" s="5">
        <v>96.347499999999997</v>
      </c>
      <c r="F461" s="5">
        <f t="shared" si="35"/>
        <v>28.11322222222222</v>
      </c>
      <c r="G461" s="2">
        <v>4.0557499999999997</v>
      </c>
      <c r="H461" s="5">
        <f t="shared" si="37"/>
        <v>88.427882812500002</v>
      </c>
      <c r="I461" s="5">
        <f t="shared" si="38"/>
        <v>88.427882812500002</v>
      </c>
      <c r="K461" s="5">
        <v>10.125</v>
      </c>
      <c r="L461" s="5">
        <v>99.312499999999986</v>
      </c>
      <c r="M461" s="5">
        <f t="shared" si="36"/>
        <v>32.047333333333334</v>
      </c>
      <c r="N461" s="5">
        <v>1.0527500000000001</v>
      </c>
      <c r="O461" s="5">
        <f t="shared" si="39"/>
        <v>780</v>
      </c>
      <c r="P461" s="5">
        <f t="shared" si="40"/>
        <v>90</v>
      </c>
      <c r="R461" s="5">
        <v>19.2</v>
      </c>
      <c r="S461" s="5">
        <v>20.807500000000001</v>
      </c>
      <c r="T461" s="5">
        <v>35.521555555555558</v>
      </c>
      <c r="U461" s="2">
        <v>0.4108</v>
      </c>
      <c r="V461" s="5">
        <v>78</v>
      </c>
      <c r="W461" s="5">
        <v>78</v>
      </c>
      <c r="AA461" s="2"/>
      <c r="AJ461" s="4"/>
      <c r="AR461" s="4"/>
    </row>
    <row r="462" spans="4:44">
      <c r="D462" s="5">
        <v>-13.4</v>
      </c>
      <c r="E462" s="5">
        <v>97.02</v>
      </c>
      <c r="F462" s="5">
        <f t="shared" si="35"/>
        <v>28.11322222222222</v>
      </c>
      <c r="G462" s="2">
        <v>4.0789999999999997</v>
      </c>
      <c r="H462" s="5">
        <f t="shared" si="37"/>
        <v>88.609499999999997</v>
      </c>
      <c r="I462" s="5">
        <f t="shared" si="38"/>
        <v>88.609499999999997</v>
      </c>
      <c r="K462" s="5">
        <v>10.199999999999999</v>
      </c>
      <c r="L462" s="5">
        <v>106.64</v>
      </c>
      <c r="M462" s="5">
        <f t="shared" si="36"/>
        <v>32.047333333333334</v>
      </c>
      <c r="N462" s="5">
        <v>1.036</v>
      </c>
      <c r="O462" s="5">
        <f t="shared" si="39"/>
        <v>780</v>
      </c>
      <c r="P462" s="5">
        <f t="shared" si="40"/>
        <v>90</v>
      </c>
      <c r="R462" s="5">
        <v>19.399999999999999</v>
      </c>
      <c r="S462" s="5">
        <v>26.97</v>
      </c>
      <c r="T462" s="5">
        <v>35.521555555555558</v>
      </c>
      <c r="U462" s="2">
        <v>0.41060000000000002</v>
      </c>
      <c r="V462" s="5">
        <v>78</v>
      </c>
      <c r="W462" s="5">
        <v>78</v>
      </c>
      <c r="AA462" s="2"/>
      <c r="AJ462" s="4"/>
      <c r="AR462" s="4"/>
    </row>
    <row r="463" spans="4:44">
      <c r="D463" s="5">
        <v>-13.625</v>
      </c>
      <c r="E463" s="5">
        <v>94.77000000000001</v>
      </c>
      <c r="F463" s="5">
        <f t="shared" si="35"/>
        <v>28.11322222222222</v>
      </c>
      <c r="G463" s="2">
        <v>4.0884999999999998</v>
      </c>
      <c r="H463" s="5">
        <f t="shared" si="37"/>
        <v>88.792382812499994</v>
      </c>
      <c r="I463" s="5">
        <f t="shared" si="38"/>
        <v>88.792382812499994</v>
      </c>
      <c r="K463" s="5">
        <v>9.85</v>
      </c>
      <c r="L463" s="5">
        <v>117.15</v>
      </c>
      <c r="M463" s="5">
        <f t="shared" si="36"/>
        <v>32.047333333333334</v>
      </c>
      <c r="N463" s="5">
        <v>1.1432500000000001</v>
      </c>
      <c r="O463" s="5">
        <f t="shared" si="39"/>
        <v>780</v>
      </c>
      <c r="P463" s="5">
        <f t="shared" si="40"/>
        <v>90</v>
      </c>
      <c r="R463" s="5">
        <v>19.324999999999999</v>
      </c>
      <c r="S463" s="5">
        <v>26.917499999999997</v>
      </c>
      <c r="T463" s="5">
        <v>35.521555555555558</v>
      </c>
      <c r="U463" s="2">
        <v>0.41067500000000001</v>
      </c>
      <c r="V463" s="5">
        <v>78</v>
      </c>
      <c r="W463" s="5">
        <v>78</v>
      </c>
      <c r="AA463" s="2"/>
      <c r="AJ463" s="4"/>
      <c r="AR463" s="4"/>
    </row>
    <row r="464" spans="4:44">
      <c r="D464" s="5">
        <v>-13.85</v>
      </c>
      <c r="E464" s="5">
        <v>92.519999999999982</v>
      </c>
      <c r="F464" s="5">
        <f t="shared" si="35"/>
        <v>28.11322222222222</v>
      </c>
      <c r="G464" s="2">
        <v>4.0979999999999999</v>
      </c>
      <c r="H464" s="5">
        <f t="shared" si="37"/>
        <v>88.976531249999994</v>
      </c>
      <c r="I464" s="5">
        <f t="shared" si="38"/>
        <v>88.976531249999994</v>
      </c>
      <c r="K464" s="5">
        <v>9.5</v>
      </c>
      <c r="L464" s="5">
        <v>127.66</v>
      </c>
      <c r="M464" s="5">
        <f t="shared" si="36"/>
        <v>32.047333333333334</v>
      </c>
      <c r="N464" s="5">
        <v>1.2504999999999999</v>
      </c>
      <c r="O464" s="5">
        <f t="shared" si="39"/>
        <v>780</v>
      </c>
      <c r="P464" s="5">
        <f t="shared" si="40"/>
        <v>90</v>
      </c>
      <c r="R464" s="5">
        <v>19.25</v>
      </c>
      <c r="S464" s="5">
        <v>26.865000000000002</v>
      </c>
      <c r="T464" s="5">
        <v>35.521555555555558</v>
      </c>
      <c r="U464" s="2">
        <v>0.41075</v>
      </c>
      <c r="V464" s="5">
        <v>78</v>
      </c>
      <c r="W464" s="5">
        <v>78</v>
      </c>
      <c r="AA464" s="2"/>
      <c r="AJ464" s="4"/>
      <c r="AR464" s="4"/>
    </row>
    <row r="465" spans="4:44">
      <c r="D465" s="5">
        <v>-14.074999999999999</v>
      </c>
      <c r="E465" s="5">
        <v>90.27</v>
      </c>
      <c r="F465" s="5">
        <f t="shared" si="35"/>
        <v>28.11322222222222</v>
      </c>
      <c r="G465" s="2">
        <v>4.1074999999999999</v>
      </c>
      <c r="H465" s="5">
        <f t="shared" si="37"/>
        <v>89.161945312499995</v>
      </c>
      <c r="I465" s="5">
        <f t="shared" si="38"/>
        <v>89.161945312499995</v>
      </c>
      <c r="K465" s="5">
        <v>9.15</v>
      </c>
      <c r="L465" s="5">
        <v>138.17000000000002</v>
      </c>
      <c r="M465" s="5">
        <f t="shared" si="36"/>
        <v>32.047333333333334</v>
      </c>
      <c r="N465" s="5">
        <v>1.35775</v>
      </c>
      <c r="O465" s="5">
        <f t="shared" si="39"/>
        <v>780</v>
      </c>
      <c r="P465" s="5">
        <f t="shared" si="40"/>
        <v>90</v>
      </c>
      <c r="R465" s="5">
        <v>19.175000000000001</v>
      </c>
      <c r="S465" s="5">
        <v>26.8125</v>
      </c>
      <c r="T465" s="5">
        <v>35.521555555555558</v>
      </c>
      <c r="U465" s="2">
        <v>0.410825</v>
      </c>
      <c r="V465" s="5">
        <v>78</v>
      </c>
      <c r="W465" s="5">
        <v>78</v>
      </c>
      <c r="AA465" s="2"/>
      <c r="AJ465" s="4"/>
      <c r="AR465" s="4"/>
    </row>
    <row r="466" spans="4:44">
      <c r="D466" s="5">
        <v>-14.3</v>
      </c>
      <c r="E466" s="5">
        <v>88.02</v>
      </c>
      <c r="F466" s="5">
        <f t="shared" si="35"/>
        <v>28.11322222222222</v>
      </c>
      <c r="G466" s="2">
        <v>4.117</v>
      </c>
      <c r="H466" s="5">
        <f t="shared" si="37"/>
        <v>89.348624999999998</v>
      </c>
      <c r="I466" s="5">
        <f t="shared" si="38"/>
        <v>89.348624999999998</v>
      </c>
      <c r="K466" s="5">
        <v>8.8000000000000007</v>
      </c>
      <c r="L466" s="5">
        <v>148.68</v>
      </c>
      <c r="M466" s="5">
        <f t="shared" si="36"/>
        <v>32.047333333333334</v>
      </c>
      <c r="N466" s="5">
        <v>1.4650000000000001</v>
      </c>
      <c r="O466" s="5">
        <f t="shared" si="39"/>
        <v>780</v>
      </c>
      <c r="P466" s="5">
        <f t="shared" si="40"/>
        <v>90</v>
      </c>
      <c r="R466" s="5">
        <v>19.100000000000001</v>
      </c>
      <c r="S466" s="5">
        <v>26.76</v>
      </c>
      <c r="T466" s="5">
        <v>35.521555555555558</v>
      </c>
      <c r="U466" s="2">
        <v>0.41089999999999999</v>
      </c>
      <c r="V466" s="5">
        <v>78</v>
      </c>
      <c r="W466" s="5">
        <v>78</v>
      </c>
      <c r="AA466" s="2"/>
      <c r="AJ466" s="4"/>
      <c r="AR466" s="4"/>
    </row>
    <row r="467" spans="4:44">
      <c r="D467" s="5">
        <v>-14.525</v>
      </c>
      <c r="E467" s="5">
        <v>85.634999999999991</v>
      </c>
      <c r="F467" s="5">
        <f t="shared" si="35"/>
        <v>28.11322222222222</v>
      </c>
      <c r="G467" s="2">
        <v>4.14175</v>
      </c>
      <c r="H467" s="5">
        <f t="shared" si="37"/>
        <v>89.536570312500004</v>
      </c>
      <c r="I467" s="5">
        <f t="shared" si="38"/>
        <v>89.536570312500004</v>
      </c>
      <c r="K467" s="5">
        <v>8.3000000000000007</v>
      </c>
      <c r="L467" s="5">
        <v>146.3125</v>
      </c>
      <c r="M467" s="5">
        <f t="shared" si="36"/>
        <v>32.047333333333334</v>
      </c>
      <c r="N467" s="5">
        <v>1.4992500000000002</v>
      </c>
      <c r="O467" s="5">
        <f t="shared" si="39"/>
        <v>780</v>
      </c>
      <c r="P467" s="5">
        <f t="shared" si="40"/>
        <v>90</v>
      </c>
      <c r="R467" s="5">
        <v>19</v>
      </c>
      <c r="S467" s="5">
        <v>26.247500000000002</v>
      </c>
      <c r="T467" s="5">
        <v>35.521555555555558</v>
      </c>
      <c r="U467" s="2">
        <v>0.41099999999999998</v>
      </c>
      <c r="V467" s="5">
        <v>78</v>
      </c>
      <c r="W467" s="5">
        <v>78</v>
      </c>
      <c r="AA467" s="2"/>
      <c r="AJ467" s="4"/>
      <c r="AR467" s="4"/>
    </row>
    <row r="468" spans="4:44">
      <c r="D468" s="5">
        <v>-14.75</v>
      </c>
      <c r="E468" s="5">
        <v>83.25</v>
      </c>
      <c r="F468" s="5">
        <f t="shared" si="35"/>
        <v>28.11322222222222</v>
      </c>
      <c r="G468" s="2">
        <v>4.1665000000000001</v>
      </c>
      <c r="H468" s="5">
        <f t="shared" si="37"/>
        <v>89.725781249999997</v>
      </c>
      <c r="I468" s="5">
        <f t="shared" si="38"/>
        <v>89.725781249999997</v>
      </c>
      <c r="K468" s="5">
        <v>7.8000000000000007</v>
      </c>
      <c r="L468" s="5">
        <v>143.94499999999999</v>
      </c>
      <c r="M468" s="5">
        <f t="shared" si="36"/>
        <v>32.047333333333334</v>
      </c>
      <c r="N468" s="5">
        <v>1.5335000000000001</v>
      </c>
      <c r="O468" s="5">
        <f t="shared" si="39"/>
        <v>780</v>
      </c>
      <c r="P468" s="5">
        <f t="shared" si="40"/>
        <v>90</v>
      </c>
      <c r="R468" s="5">
        <v>18.899999999999999</v>
      </c>
      <c r="S468" s="5">
        <v>25.734999999999999</v>
      </c>
      <c r="T468" s="5">
        <v>35.521555555555558</v>
      </c>
      <c r="U468" s="2">
        <v>0.41110000000000002</v>
      </c>
      <c r="V468" s="5">
        <v>78</v>
      </c>
      <c r="W468" s="5">
        <v>78</v>
      </c>
      <c r="AA468" s="2"/>
      <c r="AJ468" s="4"/>
      <c r="AR468" s="4"/>
    </row>
    <row r="469" spans="4:44">
      <c r="D469" s="5">
        <v>-14.975</v>
      </c>
      <c r="E469" s="5">
        <v>80.864999999999995</v>
      </c>
      <c r="F469" s="5">
        <f t="shared" si="35"/>
        <v>28.11322222222222</v>
      </c>
      <c r="G469" s="2">
        <v>4.1912500000000001</v>
      </c>
      <c r="H469" s="5">
        <f t="shared" si="37"/>
        <v>89.916257812499992</v>
      </c>
      <c r="I469" s="5">
        <f t="shared" si="38"/>
        <v>89.916257812499992</v>
      </c>
      <c r="K469" s="5">
        <v>7.3</v>
      </c>
      <c r="L469" s="5">
        <v>141.57749999999999</v>
      </c>
      <c r="M469" s="5">
        <f t="shared" si="36"/>
        <v>32.047333333333334</v>
      </c>
      <c r="N469" s="5">
        <v>1.56775</v>
      </c>
      <c r="O469" s="5">
        <f t="shared" si="39"/>
        <v>780</v>
      </c>
      <c r="P469" s="5">
        <f t="shared" si="40"/>
        <v>90</v>
      </c>
      <c r="R469" s="5">
        <v>18.8</v>
      </c>
      <c r="S469" s="5">
        <v>25.2225</v>
      </c>
      <c r="T469" s="5">
        <v>35.521555555555558</v>
      </c>
      <c r="U469" s="2">
        <v>0.41120000000000001</v>
      </c>
      <c r="V469" s="5">
        <v>78</v>
      </c>
      <c r="W469" s="5">
        <v>78</v>
      </c>
      <c r="AA469" s="2"/>
      <c r="AJ469" s="4"/>
      <c r="AR469" s="4"/>
    </row>
    <row r="470" spans="4:44">
      <c r="D470" s="5">
        <v>-15.2</v>
      </c>
      <c r="E470" s="5">
        <v>78.48</v>
      </c>
      <c r="F470" s="5">
        <f t="shared" si="35"/>
        <v>28.11322222222222</v>
      </c>
      <c r="G470" s="2">
        <v>4.2160000000000002</v>
      </c>
      <c r="H470" s="5">
        <f t="shared" si="37"/>
        <v>90.108000000000004</v>
      </c>
      <c r="I470" s="5">
        <f t="shared" si="38"/>
        <v>90</v>
      </c>
      <c r="K470" s="5">
        <v>6.8</v>
      </c>
      <c r="L470" s="5">
        <v>139.20999999999998</v>
      </c>
      <c r="M470" s="5">
        <f t="shared" si="36"/>
        <v>32.047333333333334</v>
      </c>
      <c r="N470" s="5">
        <v>1.6020000000000001</v>
      </c>
      <c r="O470" s="5">
        <f t="shared" si="39"/>
        <v>780</v>
      </c>
      <c r="P470" s="5">
        <f t="shared" si="40"/>
        <v>90</v>
      </c>
      <c r="R470" s="5">
        <v>18.7</v>
      </c>
      <c r="S470" s="5">
        <v>24.71</v>
      </c>
      <c r="T470" s="5">
        <v>35.521555555555558</v>
      </c>
      <c r="U470" s="2">
        <v>0.4113</v>
      </c>
      <c r="V470" s="5">
        <v>78</v>
      </c>
      <c r="W470" s="5">
        <v>78</v>
      </c>
      <c r="AA470" s="2"/>
      <c r="AJ470" s="4"/>
      <c r="AR470" s="4"/>
    </row>
    <row r="471" spans="4:44">
      <c r="D471" s="5">
        <v>-15.3</v>
      </c>
      <c r="E471" s="5">
        <v>79.31</v>
      </c>
      <c r="F471" s="5">
        <f t="shared" si="35"/>
        <v>28.11322222222222</v>
      </c>
      <c r="G471" s="2">
        <v>4.1920000000000002</v>
      </c>
      <c r="H471" s="5">
        <f t="shared" si="37"/>
        <v>90.193624999999997</v>
      </c>
      <c r="I471" s="5">
        <f t="shared" si="38"/>
        <v>90</v>
      </c>
      <c r="K471" s="5">
        <v>6.85</v>
      </c>
      <c r="L471" s="5">
        <v>130.75749999999999</v>
      </c>
      <c r="M471" s="5">
        <f t="shared" si="36"/>
        <v>32.047333333333334</v>
      </c>
      <c r="N471" s="5">
        <v>1.5815000000000001</v>
      </c>
      <c r="O471" s="5">
        <f t="shared" si="39"/>
        <v>780</v>
      </c>
      <c r="P471" s="5">
        <f t="shared" si="40"/>
        <v>90</v>
      </c>
      <c r="R471" s="5">
        <v>18.600000000000001</v>
      </c>
      <c r="S471" s="5">
        <v>23.67</v>
      </c>
      <c r="T471" s="5">
        <v>35.521555555555558</v>
      </c>
      <c r="U471" s="2">
        <v>0.41139999999999999</v>
      </c>
      <c r="V471" s="5">
        <v>78</v>
      </c>
      <c r="W471" s="5">
        <v>78</v>
      </c>
      <c r="AA471" s="2"/>
      <c r="AJ471" s="4"/>
      <c r="AR471" s="4"/>
    </row>
    <row r="472" spans="4:44">
      <c r="D472" s="5">
        <v>-15.4</v>
      </c>
      <c r="E472" s="5">
        <v>80.139999999999986</v>
      </c>
      <c r="F472" s="5">
        <f t="shared" si="35"/>
        <v>28.11322222222222</v>
      </c>
      <c r="G472" s="2">
        <v>4.1680000000000001</v>
      </c>
      <c r="H472" s="5">
        <f t="shared" si="37"/>
        <v>90.279499999999999</v>
      </c>
      <c r="I472" s="5">
        <f t="shared" si="38"/>
        <v>90</v>
      </c>
      <c r="K472" s="5">
        <v>6.9</v>
      </c>
      <c r="L472" s="5">
        <v>122.30499999999999</v>
      </c>
      <c r="M472" s="5">
        <f t="shared" si="36"/>
        <v>32.047333333333334</v>
      </c>
      <c r="N472" s="5">
        <v>1.5610000000000002</v>
      </c>
      <c r="O472" s="5">
        <f t="shared" si="39"/>
        <v>780</v>
      </c>
      <c r="P472" s="5">
        <f t="shared" si="40"/>
        <v>90</v>
      </c>
      <c r="R472" s="5">
        <v>18.5</v>
      </c>
      <c r="S472" s="5">
        <v>22.63</v>
      </c>
      <c r="T472" s="5">
        <v>35.521555555555558</v>
      </c>
      <c r="U472" s="2">
        <v>0.41149999999999998</v>
      </c>
      <c r="V472" s="5">
        <v>78</v>
      </c>
      <c r="W472" s="5">
        <v>78</v>
      </c>
      <c r="AA472" s="2"/>
      <c r="AJ472" s="4"/>
      <c r="AR472" s="4"/>
    </row>
    <row r="473" spans="4:44">
      <c r="D473" s="5">
        <v>-15.5</v>
      </c>
      <c r="E473" s="5">
        <v>80.97</v>
      </c>
      <c r="F473" s="5">
        <f t="shared" si="35"/>
        <v>28.11322222222222</v>
      </c>
      <c r="G473" s="2">
        <v>4.1440000000000001</v>
      </c>
      <c r="H473" s="5">
        <f t="shared" si="37"/>
        <v>90.365624999999994</v>
      </c>
      <c r="I473" s="5">
        <f t="shared" si="38"/>
        <v>90</v>
      </c>
      <c r="K473" s="5">
        <v>6.95</v>
      </c>
      <c r="L473" s="5">
        <v>113.85249999999999</v>
      </c>
      <c r="M473" s="5">
        <f t="shared" si="36"/>
        <v>32.047333333333334</v>
      </c>
      <c r="N473" s="5">
        <v>1.5405</v>
      </c>
      <c r="O473" s="5">
        <f t="shared" si="39"/>
        <v>780</v>
      </c>
      <c r="P473" s="5">
        <f t="shared" si="40"/>
        <v>90</v>
      </c>
      <c r="R473" s="5">
        <v>18.399999999999999</v>
      </c>
      <c r="S473" s="5">
        <v>21.589999999999996</v>
      </c>
      <c r="T473" s="5">
        <v>35.521555555555558</v>
      </c>
      <c r="U473" s="2">
        <v>0.41159999999999997</v>
      </c>
      <c r="V473" s="5">
        <v>78</v>
      </c>
      <c r="W473" s="5">
        <v>78</v>
      </c>
      <c r="AA473" s="2"/>
      <c r="AJ473" s="4"/>
      <c r="AR473" s="4"/>
    </row>
    <row r="474" spans="4:44">
      <c r="D474" s="5">
        <v>-15.6</v>
      </c>
      <c r="E474" s="5">
        <v>81.8</v>
      </c>
      <c r="F474" s="5">
        <f t="shared" si="35"/>
        <v>28.11322222222222</v>
      </c>
      <c r="G474" s="2">
        <v>4.12</v>
      </c>
      <c r="H474" s="5">
        <f t="shared" si="37"/>
        <v>90.451999999999998</v>
      </c>
      <c r="I474" s="5">
        <f t="shared" si="38"/>
        <v>90</v>
      </c>
      <c r="K474" s="5">
        <v>7</v>
      </c>
      <c r="L474" s="5">
        <v>105.39999999999999</v>
      </c>
      <c r="M474" s="5">
        <f t="shared" si="36"/>
        <v>32.047333333333334</v>
      </c>
      <c r="N474" s="5">
        <v>1.52</v>
      </c>
      <c r="O474" s="5">
        <f t="shared" si="39"/>
        <v>780</v>
      </c>
      <c r="P474" s="5">
        <f t="shared" si="40"/>
        <v>90</v>
      </c>
      <c r="R474" s="5">
        <v>18.3</v>
      </c>
      <c r="S474" s="5">
        <v>20.55</v>
      </c>
      <c r="T474" s="5">
        <v>35.521555555555558</v>
      </c>
      <c r="U474" s="2">
        <v>0.41170000000000001</v>
      </c>
      <c r="V474" s="5">
        <v>78</v>
      </c>
      <c r="W474" s="5">
        <v>78</v>
      </c>
      <c r="AA474" s="2"/>
      <c r="AJ474" s="4"/>
      <c r="AR474" s="4"/>
    </row>
    <row r="475" spans="4:44">
      <c r="D475" s="5">
        <v>-15.65</v>
      </c>
      <c r="E475" s="5">
        <v>81.382499999999993</v>
      </c>
      <c r="F475" s="5">
        <f t="shared" si="35"/>
        <v>28.11322222222222</v>
      </c>
      <c r="G475" s="2">
        <v>4.1049999999999995</v>
      </c>
      <c r="H475" s="5">
        <f t="shared" si="37"/>
        <v>90.495281250000005</v>
      </c>
      <c r="I475" s="5">
        <f t="shared" si="38"/>
        <v>90</v>
      </c>
      <c r="K475" s="5">
        <v>6.95</v>
      </c>
      <c r="L475" s="5">
        <v>102.57999999999998</v>
      </c>
      <c r="M475" s="5">
        <f t="shared" si="36"/>
        <v>32.047333333333334</v>
      </c>
      <c r="N475" s="5">
        <v>1.5362500000000001</v>
      </c>
      <c r="O475" s="5">
        <f t="shared" si="39"/>
        <v>780</v>
      </c>
      <c r="P475" s="5">
        <f t="shared" si="40"/>
        <v>90</v>
      </c>
      <c r="R475" s="5">
        <v>18.175000000000001</v>
      </c>
      <c r="S475" s="5">
        <v>16.79</v>
      </c>
      <c r="T475" s="5">
        <v>35.521555555555558</v>
      </c>
      <c r="U475" s="2">
        <v>0.411825</v>
      </c>
      <c r="V475" s="5">
        <v>78</v>
      </c>
      <c r="W475" s="5">
        <v>78</v>
      </c>
      <c r="AA475" s="2"/>
      <c r="AJ475" s="4"/>
      <c r="AR475" s="4"/>
    </row>
    <row r="476" spans="4:44">
      <c r="D476" s="5">
        <v>-15.7</v>
      </c>
      <c r="E476" s="5">
        <v>80.964999999999989</v>
      </c>
      <c r="F476" s="5">
        <f t="shared" si="35"/>
        <v>28.11322222222222</v>
      </c>
      <c r="G476" s="2">
        <v>4.09</v>
      </c>
      <c r="H476" s="5">
        <f t="shared" si="37"/>
        <v>90.538624999999996</v>
      </c>
      <c r="I476" s="5">
        <f t="shared" si="38"/>
        <v>90</v>
      </c>
      <c r="K476" s="5">
        <v>6.9</v>
      </c>
      <c r="L476" s="5">
        <v>99.759999999999991</v>
      </c>
      <c r="M476" s="5">
        <f t="shared" si="36"/>
        <v>32.047333333333334</v>
      </c>
      <c r="N476" s="5">
        <v>1.5525</v>
      </c>
      <c r="O476" s="5">
        <f t="shared" si="39"/>
        <v>780</v>
      </c>
      <c r="P476" s="5">
        <f t="shared" si="40"/>
        <v>90</v>
      </c>
      <c r="R476" s="5">
        <v>18.05</v>
      </c>
      <c r="S476" s="5">
        <v>13.03</v>
      </c>
      <c r="T476" s="5">
        <v>35.521555555555558</v>
      </c>
      <c r="U476" s="2">
        <v>0.41194999999999998</v>
      </c>
      <c r="V476" s="5">
        <v>78</v>
      </c>
      <c r="W476" s="5">
        <v>78</v>
      </c>
      <c r="AA476" s="2"/>
      <c r="AJ476" s="4"/>
      <c r="AR476" s="4"/>
    </row>
    <row r="477" spans="4:44">
      <c r="D477" s="5">
        <v>-15.75</v>
      </c>
      <c r="E477" s="5">
        <v>80.547499999999999</v>
      </c>
      <c r="F477" s="5">
        <f t="shared" si="35"/>
        <v>28.11322222222222</v>
      </c>
      <c r="G477" s="2">
        <v>4.0750000000000002</v>
      </c>
      <c r="H477" s="5">
        <f t="shared" si="37"/>
        <v>90.58203125</v>
      </c>
      <c r="I477" s="5">
        <f t="shared" si="38"/>
        <v>90</v>
      </c>
      <c r="K477" s="5">
        <v>6.85</v>
      </c>
      <c r="L477" s="5">
        <v>96.940000000000012</v>
      </c>
      <c r="M477" s="5">
        <f t="shared" si="36"/>
        <v>32.047333333333334</v>
      </c>
      <c r="N477" s="5">
        <v>1.5687499999999999</v>
      </c>
      <c r="O477" s="5">
        <f t="shared" si="39"/>
        <v>780</v>
      </c>
      <c r="P477" s="5">
        <f t="shared" si="40"/>
        <v>90</v>
      </c>
      <c r="R477" s="5">
        <v>17.925000000000001</v>
      </c>
      <c r="S477" s="5">
        <v>9.27</v>
      </c>
      <c r="T477" s="5">
        <v>35.521555555555558</v>
      </c>
      <c r="U477" s="2">
        <v>0.41207499999999997</v>
      </c>
      <c r="V477" s="5">
        <v>78</v>
      </c>
      <c r="W477" s="5">
        <v>78</v>
      </c>
      <c r="AA477" s="2"/>
      <c r="AJ477" s="4"/>
      <c r="AR477" s="4"/>
    </row>
    <row r="478" spans="4:44">
      <c r="D478" s="5">
        <v>-15.8</v>
      </c>
      <c r="E478" s="5">
        <v>80.13</v>
      </c>
      <c r="F478" s="5">
        <f t="shared" si="35"/>
        <v>28.11322222222222</v>
      </c>
      <c r="G478" s="2">
        <v>4.0599999999999996</v>
      </c>
      <c r="H478" s="5">
        <f t="shared" si="37"/>
        <v>90.625500000000002</v>
      </c>
      <c r="I478" s="5">
        <f t="shared" si="38"/>
        <v>90</v>
      </c>
      <c r="K478" s="5">
        <v>6.8</v>
      </c>
      <c r="L478" s="5">
        <v>94.12</v>
      </c>
      <c r="M478" s="5">
        <f t="shared" si="36"/>
        <v>32.047333333333334</v>
      </c>
      <c r="N478" s="5">
        <v>1.585</v>
      </c>
      <c r="O478" s="5">
        <f t="shared" si="39"/>
        <v>780</v>
      </c>
      <c r="P478" s="5">
        <f t="shared" si="40"/>
        <v>90</v>
      </c>
      <c r="R478" s="5">
        <v>17.8</v>
      </c>
      <c r="S478" s="5">
        <v>5.5100000000000007</v>
      </c>
      <c r="T478" s="5">
        <v>35.521555555555558</v>
      </c>
      <c r="U478" s="2">
        <v>0.41220000000000001</v>
      </c>
      <c r="V478" s="5">
        <v>78</v>
      </c>
      <c r="W478" s="5">
        <v>78</v>
      </c>
      <c r="AA478" s="2"/>
      <c r="AJ478" s="4"/>
      <c r="AR478" s="4"/>
    </row>
    <row r="479" spans="4:44">
      <c r="D479" s="5">
        <v>-16.074999999999999</v>
      </c>
      <c r="E479" s="5">
        <v>77.885000000000005</v>
      </c>
      <c r="F479" s="5">
        <f t="shared" si="35"/>
        <v>28.11322222222222</v>
      </c>
      <c r="G479" s="2">
        <v>4.0372500000000002</v>
      </c>
      <c r="H479" s="5">
        <f t="shared" si="37"/>
        <v>90.865695312499994</v>
      </c>
      <c r="I479" s="5">
        <f t="shared" si="38"/>
        <v>90</v>
      </c>
      <c r="K479" s="5">
        <v>6.6749999999999998</v>
      </c>
      <c r="L479" s="5">
        <v>90.8125</v>
      </c>
      <c r="M479" s="5">
        <f t="shared" si="36"/>
        <v>32.047333333333334</v>
      </c>
      <c r="N479" s="5">
        <v>1.591</v>
      </c>
      <c r="O479" s="5">
        <f t="shared" si="39"/>
        <v>780</v>
      </c>
      <c r="P479" s="5">
        <f t="shared" si="40"/>
        <v>90</v>
      </c>
      <c r="R479" s="5">
        <v>17.625</v>
      </c>
      <c r="S479" s="5">
        <v>4.4574999999999996</v>
      </c>
      <c r="T479" s="5">
        <v>35.521555555555558</v>
      </c>
      <c r="U479" s="2">
        <v>0.41237499999999999</v>
      </c>
      <c r="V479" s="5">
        <v>78</v>
      </c>
      <c r="W479" s="5">
        <v>78</v>
      </c>
      <c r="AA479" s="2"/>
      <c r="AJ479" s="4"/>
      <c r="AR479" s="4"/>
    </row>
    <row r="480" spans="4:44">
      <c r="D480" s="5">
        <v>-16.350000000000001</v>
      </c>
      <c r="E480" s="5">
        <v>75.64</v>
      </c>
      <c r="F480" s="5">
        <f t="shared" si="35"/>
        <v>28.11322222222222</v>
      </c>
      <c r="G480" s="2">
        <v>4.0145</v>
      </c>
      <c r="H480" s="5">
        <f t="shared" si="37"/>
        <v>91.107781250000002</v>
      </c>
      <c r="I480" s="5">
        <f t="shared" si="38"/>
        <v>90</v>
      </c>
      <c r="K480" s="5">
        <v>6.55</v>
      </c>
      <c r="L480" s="5">
        <v>87.50500000000001</v>
      </c>
      <c r="M480" s="5">
        <f t="shared" si="36"/>
        <v>32.047333333333334</v>
      </c>
      <c r="N480" s="5">
        <v>1.597</v>
      </c>
      <c r="O480" s="5">
        <f t="shared" si="39"/>
        <v>780</v>
      </c>
      <c r="P480" s="5">
        <f t="shared" si="40"/>
        <v>90</v>
      </c>
      <c r="R480" s="5">
        <v>17.45</v>
      </c>
      <c r="S480" s="5">
        <v>3.4050000000000002</v>
      </c>
      <c r="T480" s="5">
        <v>35.521555555555558</v>
      </c>
      <c r="U480" s="2">
        <v>0.41254999999999997</v>
      </c>
      <c r="V480" s="5">
        <v>78</v>
      </c>
      <c r="W480" s="5">
        <v>78</v>
      </c>
      <c r="AA480" s="2"/>
      <c r="AJ480" s="4"/>
      <c r="AR480" s="4"/>
    </row>
    <row r="481" spans="4:44">
      <c r="D481" s="5">
        <v>-16.625</v>
      </c>
      <c r="E481" s="5">
        <v>73.394999999999996</v>
      </c>
      <c r="F481" s="5">
        <f t="shared" si="35"/>
        <v>28.11322222222222</v>
      </c>
      <c r="G481" s="2">
        <v>3.9917500000000001</v>
      </c>
      <c r="H481" s="5">
        <f t="shared" si="37"/>
        <v>91.351757812499997</v>
      </c>
      <c r="I481" s="5">
        <f t="shared" si="38"/>
        <v>90</v>
      </c>
      <c r="K481" s="5">
        <v>6.4249999999999998</v>
      </c>
      <c r="L481" s="5">
        <v>84.197500000000005</v>
      </c>
      <c r="M481" s="5">
        <f t="shared" si="36"/>
        <v>32.047333333333334</v>
      </c>
      <c r="N481" s="5">
        <v>1.603</v>
      </c>
      <c r="O481" s="5">
        <f t="shared" si="39"/>
        <v>780</v>
      </c>
      <c r="P481" s="5">
        <f t="shared" si="40"/>
        <v>90</v>
      </c>
      <c r="R481" s="5">
        <v>17.274999999999999</v>
      </c>
      <c r="S481" s="5">
        <v>2.3525</v>
      </c>
      <c r="T481" s="5">
        <v>35.521555555555558</v>
      </c>
      <c r="U481" s="2">
        <v>0.41272500000000001</v>
      </c>
      <c r="V481" s="5">
        <v>78</v>
      </c>
      <c r="W481" s="5">
        <v>78</v>
      </c>
      <c r="AA481" s="2"/>
      <c r="AJ481" s="4"/>
      <c r="AR481" s="4"/>
    </row>
    <row r="482" spans="4:44">
      <c r="D482" s="5">
        <v>-16.899999999999999</v>
      </c>
      <c r="E482" s="5">
        <v>71.150000000000006</v>
      </c>
      <c r="F482" s="5">
        <v>27.998999999999999</v>
      </c>
      <c r="G482" s="2">
        <v>3.9690000000000003</v>
      </c>
      <c r="H482" s="5">
        <f t="shared" si="37"/>
        <v>91.597624999999994</v>
      </c>
      <c r="I482" s="5">
        <f t="shared" si="38"/>
        <v>90</v>
      </c>
      <c r="K482" s="5">
        <v>6.3</v>
      </c>
      <c r="L482" s="5">
        <v>80.89</v>
      </c>
      <c r="M482" s="5">
        <f t="shared" ref="M482:M513" si="41">$M$481-($M$481-$M$578)/3</f>
        <v>31.872888888888891</v>
      </c>
      <c r="N482" s="5">
        <v>1.609</v>
      </c>
      <c r="O482" s="5">
        <f t="shared" si="39"/>
        <v>780</v>
      </c>
      <c r="P482" s="5">
        <f t="shared" si="40"/>
        <v>90</v>
      </c>
      <c r="R482" s="5">
        <v>17.100000000000001</v>
      </c>
      <c r="S482" s="5">
        <v>1.3</v>
      </c>
      <c r="T482" s="5">
        <v>35.374000000000002</v>
      </c>
      <c r="U482" s="2">
        <v>0.41289999999999999</v>
      </c>
      <c r="V482" s="5">
        <v>78</v>
      </c>
      <c r="W482" s="5">
        <v>78</v>
      </c>
      <c r="AA482" s="2"/>
      <c r="AJ482" s="4"/>
      <c r="AR482" s="4"/>
    </row>
    <row r="483" spans="4:44">
      <c r="D483" s="5">
        <v>-17.100000000000001</v>
      </c>
      <c r="E483" s="5">
        <v>73.512500000000003</v>
      </c>
      <c r="F483" s="5">
        <v>27.998999999999999</v>
      </c>
      <c r="G483" s="2">
        <v>3.9652500000000002</v>
      </c>
      <c r="H483" s="5">
        <f t="shared" si="37"/>
        <v>91.777625</v>
      </c>
      <c r="I483" s="5">
        <f t="shared" si="38"/>
        <v>90</v>
      </c>
      <c r="K483" s="5">
        <v>6.2</v>
      </c>
      <c r="L483" s="5">
        <v>78.147500000000008</v>
      </c>
      <c r="M483" s="5">
        <f t="shared" si="41"/>
        <v>31.872888888888891</v>
      </c>
      <c r="N483" s="5">
        <v>1.61775</v>
      </c>
      <c r="O483" s="5">
        <f t="shared" si="39"/>
        <v>780</v>
      </c>
      <c r="P483" s="5">
        <f t="shared" si="40"/>
        <v>90</v>
      </c>
      <c r="R483" s="5">
        <v>16.975000000000001</v>
      </c>
      <c r="S483" s="5">
        <v>5.0549999999999997</v>
      </c>
      <c r="T483" s="5">
        <v>35.374000000000002</v>
      </c>
      <c r="U483" s="2">
        <v>0.41302499999999998</v>
      </c>
      <c r="V483" s="5">
        <v>78</v>
      </c>
      <c r="W483" s="5">
        <v>78</v>
      </c>
      <c r="AA483" s="2"/>
      <c r="AJ483" s="4"/>
      <c r="AR483" s="4"/>
    </row>
    <row r="484" spans="4:44">
      <c r="D484" s="5">
        <v>-17.3</v>
      </c>
      <c r="E484" s="5">
        <v>75.875</v>
      </c>
      <c r="F484" s="5">
        <v>27.998999999999999</v>
      </c>
      <c r="G484" s="2">
        <v>3.9615000000000005</v>
      </c>
      <c r="H484" s="5">
        <f t="shared" si="37"/>
        <v>91.958624999999998</v>
      </c>
      <c r="I484" s="5">
        <f t="shared" si="38"/>
        <v>90</v>
      </c>
      <c r="K484" s="5">
        <v>6.1</v>
      </c>
      <c r="L484" s="5">
        <v>75.405000000000001</v>
      </c>
      <c r="M484" s="5">
        <f t="shared" si="41"/>
        <v>31.872888888888891</v>
      </c>
      <c r="N484" s="5">
        <v>1.6265000000000001</v>
      </c>
      <c r="O484" s="5">
        <f t="shared" si="39"/>
        <v>780</v>
      </c>
      <c r="P484" s="5">
        <f t="shared" si="40"/>
        <v>90</v>
      </c>
      <c r="R484" s="5">
        <v>16.850000000000001</v>
      </c>
      <c r="S484" s="5">
        <v>8.8099999999999987</v>
      </c>
      <c r="T484" s="5">
        <v>35.374000000000002</v>
      </c>
      <c r="U484" s="2">
        <v>0.41315000000000002</v>
      </c>
      <c r="V484" s="5">
        <v>78</v>
      </c>
      <c r="W484" s="5">
        <v>78</v>
      </c>
      <c r="AA484" s="2"/>
      <c r="AJ484" s="4"/>
      <c r="AR484" s="4"/>
    </row>
    <row r="485" spans="4:44">
      <c r="D485" s="5">
        <v>-17.5</v>
      </c>
      <c r="E485" s="5">
        <v>78.237500000000011</v>
      </c>
      <c r="F485" s="5">
        <v>27.998999999999999</v>
      </c>
      <c r="G485" s="2">
        <v>3.9577500000000003</v>
      </c>
      <c r="H485" s="5">
        <f t="shared" si="37"/>
        <v>92.140625</v>
      </c>
      <c r="I485" s="5">
        <f t="shared" si="38"/>
        <v>90</v>
      </c>
      <c r="K485" s="5">
        <v>6</v>
      </c>
      <c r="L485" s="5">
        <v>72.662500000000009</v>
      </c>
      <c r="M485" s="5">
        <f t="shared" si="41"/>
        <v>31.872888888888891</v>
      </c>
      <c r="N485" s="5">
        <v>1.6352500000000001</v>
      </c>
      <c r="O485" s="5">
        <f t="shared" si="39"/>
        <v>780</v>
      </c>
      <c r="P485" s="5">
        <f t="shared" si="40"/>
        <v>90</v>
      </c>
      <c r="R485" s="5">
        <v>16.725000000000001</v>
      </c>
      <c r="S485" s="5">
        <v>12.565</v>
      </c>
      <c r="T485" s="5">
        <v>35.374000000000002</v>
      </c>
      <c r="U485" s="2">
        <v>0.413275</v>
      </c>
      <c r="V485" s="5">
        <v>78</v>
      </c>
      <c r="W485" s="5">
        <v>78</v>
      </c>
      <c r="AA485" s="2"/>
      <c r="AJ485" s="4"/>
      <c r="AR485" s="4"/>
    </row>
    <row r="486" spans="4:44">
      <c r="D486" s="5">
        <v>-17.7</v>
      </c>
      <c r="E486" s="5">
        <v>80.600000000000009</v>
      </c>
      <c r="F486" s="5">
        <v>27.998999999999999</v>
      </c>
      <c r="G486" s="2">
        <v>3.9540000000000002</v>
      </c>
      <c r="H486" s="5">
        <f t="shared" si="37"/>
        <v>92.323624999999993</v>
      </c>
      <c r="I486" s="5">
        <f t="shared" si="38"/>
        <v>90</v>
      </c>
      <c r="K486" s="5">
        <v>5.9</v>
      </c>
      <c r="L486" s="5">
        <v>69.92</v>
      </c>
      <c r="M486" s="5">
        <f t="shared" si="41"/>
        <v>31.872888888888891</v>
      </c>
      <c r="N486" s="5">
        <v>1.6440000000000001</v>
      </c>
      <c r="O486" s="5">
        <f t="shared" si="39"/>
        <v>780</v>
      </c>
      <c r="P486" s="5">
        <f t="shared" si="40"/>
        <v>90</v>
      </c>
      <c r="R486" s="5">
        <v>16.600000000000001</v>
      </c>
      <c r="S486" s="5">
        <v>16.32</v>
      </c>
      <c r="T486" s="5">
        <v>35.374000000000002</v>
      </c>
      <c r="U486" s="2">
        <v>0.41339999999999999</v>
      </c>
      <c r="V486" s="5">
        <v>78</v>
      </c>
      <c r="W486" s="5">
        <v>78</v>
      </c>
      <c r="AA486" s="2"/>
      <c r="AJ486" s="4"/>
      <c r="AR486" s="4"/>
    </row>
    <row r="487" spans="4:44">
      <c r="D487" s="5">
        <v>-17.75</v>
      </c>
      <c r="E487" s="5">
        <v>79.032499999999999</v>
      </c>
      <c r="F487" s="5">
        <v>27.998999999999999</v>
      </c>
      <c r="G487" s="2">
        <v>3.9597500000000001</v>
      </c>
      <c r="H487" s="5">
        <f t="shared" si="37"/>
        <v>92.369531249999994</v>
      </c>
      <c r="I487" s="5">
        <f t="shared" si="38"/>
        <v>90</v>
      </c>
      <c r="K487" s="5">
        <v>5.7250000000000014</v>
      </c>
      <c r="L487" s="5">
        <v>66.742499999999993</v>
      </c>
      <c r="M487" s="5">
        <f t="shared" si="41"/>
        <v>31.872888888888891</v>
      </c>
      <c r="N487" s="5">
        <v>1.65025</v>
      </c>
      <c r="O487" s="5">
        <f t="shared" si="39"/>
        <v>780</v>
      </c>
      <c r="P487" s="5">
        <f t="shared" si="40"/>
        <v>90</v>
      </c>
      <c r="R487" s="5">
        <v>16.55</v>
      </c>
      <c r="S487" s="5">
        <v>16.465</v>
      </c>
      <c r="T487" s="5">
        <v>35.374000000000002</v>
      </c>
      <c r="U487" s="2">
        <v>0.41344999999999998</v>
      </c>
      <c r="V487" s="5">
        <v>78</v>
      </c>
      <c r="W487" s="5">
        <v>78</v>
      </c>
      <c r="AA487" s="2"/>
      <c r="AJ487" s="4"/>
      <c r="AR487" s="4"/>
    </row>
    <row r="488" spans="4:44">
      <c r="D488" s="5">
        <v>-17.8</v>
      </c>
      <c r="E488" s="5">
        <v>77.465000000000003</v>
      </c>
      <c r="F488" s="5">
        <v>27.998999999999999</v>
      </c>
      <c r="G488" s="2">
        <v>3.9655</v>
      </c>
      <c r="H488" s="5">
        <f t="shared" si="37"/>
        <v>92.415500000000009</v>
      </c>
      <c r="I488" s="5">
        <f t="shared" si="38"/>
        <v>90</v>
      </c>
      <c r="K488" s="5">
        <v>5.5500000000000007</v>
      </c>
      <c r="L488" s="5">
        <v>63.564999999999998</v>
      </c>
      <c r="M488" s="5">
        <f t="shared" si="41"/>
        <v>31.872888888888891</v>
      </c>
      <c r="N488" s="5">
        <v>1.6565000000000001</v>
      </c>
      <c r="O488" s="5">
        <f t="shared" si="39"/>
        <v>780</v>
      </c>
      <c r="P488" s="5">
        <f t="shared" si="40"/>
        <v>90</v>
      </c>
      <c r="R488" s="5">
        <v>16.5</v>
      </c>
      <c r="S488" s="5">
        <v>16.61</v>
      </c>
      <c r="T488" s="5">
        <v>35.374000000000002</v>
      </c>
      <c r="U488" s="2">
        <v>0.41349999999999998</v>
      </c>
      <c r="V488" s="5">
        <v>78</v>
      </c>
      <c r="W488" s="5">
        <v>78</v>
      </c>
      <c r="AA488" s="2"/>
      <c r="AJ488" s="4"/>
      <c r="AR488" s="4"/>
    </row>
    <row r="489" spans="4:44">
      <c r="D489" s="5">
        <v>-17.850000000000001</v>
      </c>
      <c r="E489" s="5">
        <v>75.897500000000008</v>
      </c>
      <c r="F489" s="5">
        <v>27.998999999999999</v>
      </c>
      <c r="G489" s="2">
        <v>3.9712500000000004</v>
      </c>
      <c r="H489" s="5">
        <f t="shared" si="37"/>
        <v>92.461531250000007</v>
      </c>
      <c r="I489" s="5">
        <f t="shared" si="38"/>
        <v>90</v>
      </c>
      <c r="K489" s="5">
        <v>5.375</v>
      </c>
      <c r="L489" s="5">
        <v>60.387500000000003</v>
      </c>
      <c r="M489" s="5">
        <f t="shared" si="41"/>
        <v>31.872888888888891</v>
      </c>
      <c r="N489" s="5">
        <v>1.6627500000000002</v>
      </c>
      <c r="O489" s="5">
        <f t="shared" si="39"/>
        <v>780</v>
      </c>
      <c r="P489" s="5">
        <f t="shared" si="40"/>
        <v>90</v>
      </c>
      <c r="R489" s="5">
        <v>16.45</v>
      </c>
      <c r="S489" s="5">
        <v>16.754999999999999</v>
      </c>
      <c r="T489" s="5">
        <v>35.374000000000002</v>
      </c>
      <c r="U489" s="2">
        <v>0.41354999999999997</v>
      </c>
      <c r="V489" s="5">
        <v>78</v>
      </c>
      <c r="W489" s="5">
        <v>78</v>
      </c>
      <c r="AA489" s="2"/>
      <c r="AJ489" s="4"/>
      <c r="AR489" s="4"/>
    </row>
    <row r="490" spans="4:44">
      <c r="D490" s="5">
        <v>-17.899999999999999</v>
      </c>
      <c r="E490" s="5">
        <v>74.33</v>
      </c>
      <c r="F490" s="5">
        <v>27.998999999999999</v>
      </c>
      <c r="G490" s="2">
        <v>3.9770000000000003</v>
      </c>
      <c r="H490" s="5">
        <f t="shared" si="37"/>
        <v>92.507625000000004</v>
      </c>
      <c r="I490" s="5">
        <f t="shared" si="38"/>
        <v>90</v>
      </c>
      <c r="K490" s="5">
        <v>5.2</v>
      </c>
      <c r="L490" s="5">
        <v>57.21</v>
      </c>
      <c r="M490" s="5">
        <f t="shared" si="41"/>
        <v>31.872888888888891</v>
      </c>
      <c r="N490" s="5">
        <v>1.669</v>
      </c>
      <c r="O490" s="5">
        <f t="shared" si="39"/>
        <v>780</v>
      </c>
      <c r="P490" s="5">
        <f t="shared" si="40"/>
        <v>90</v>
      </c>
      <c r="R490" s="5">
        <v>16.399999999999999</v>
      </c>
      <c r="S490" s="5">
        <v>16.899999999999999</v>
      </c>
      <c r="T490" s="5">
        <v>35.374000000000002</v>
      </c>
      <c r="U490" s="2">
        <v>0.41359999999999997</v>
      </c>
      <c r="V490" s="5">
        <v>78</v>
      </c>
      <c r="W490" s="5">
        <v>78</v>
      </c>
      <c r="AA490" s="2"/>
      <c r="AJ490" s="4"/>
      <c r="AR490" s="4"/>
    </row>
    <row r="491" spans="4:44">
      <c r="D491" s="5">
        <v>-17.475000000000001</v>
      </c>
      <c r="E491" s="5">
        <v>73.972499999999997</v>
      </c>
      <c r="F491" s="5">
        <v>27.998999999999999</v>
      </c>
      <c r="G491" s="2">
        <v>3.9480000000000004</v>
      </c>
      <c r="H491" s="5">
        <f t="shared" si="37"/>
        <v>92.117820312500001</v>
      </c>
      <c r="I491" s="5">
        <f t="shared" si="38"/>
        <v>90</v>
      </c>
      <c r="K491" s="5">
        <v>4.55</v>
      </c>
      <c r="L491" s="5">
        <v>55.182500000000005</v>
      </c>
      <c r="M491" s="5">
        <f t="shared" si="41"/>
        <v>31.872888888888891</v>
      </c>
      <c r="N491" s="5">
        <v>1.6879999999999999</v>
      </c>
      <c r="O491" s="5">
        <f t="shared" si="39"/>
        <v>780</v>
      </c>
      <c r="P491" s="5">
        <f t="shared" si="40"/>
        <v>90</v>
      </c>
      <c r="R491" s="5">
        <v>16.375</v>
      </c>
      <c r="S491" s="5">
        <v>16.565000000000001</v>
      </c>
      <c r="T491" s="5">
        <v>35.374000000000002</v>
      </c>
      <c r="U491" s="2">
        <v>0.41362500000000002</v>
      </c>
      <c r="V491" s="5">
        <v>78</v>
      </c>
      <c r="W491" s="5">
        <v>78</v>
      </c>
      <c r="AA491" s="2"/>
      <c r="AJ491" s="4"/>
      <c r="AR491" s="4"/>
    </row>
    <row r="492" spans="4:44">
      <c r="D492" s="5">
        <v>-17.05</v>
      </c>
      <c r="E492" s="5">
        <v>73.614999999999981</v>
      </c>
      <c r="F492" s="5">
        <v>27.998999999999999</v>
      </c>
      <c r="G492" s="2">
        <v>3.919</v>
      </c>
      <c r="H492" s="5">
        <f t="shared" si="37"/>
        <v>91.732531249999994</v>
      </c>
      <c r="I492" s="5">
        <f t="shared" si="38"/>
        <v>90</v>
      </c>
      <c r="K492" s="5">
        <v>3.9</v>
      </c>
      <c r="L492" s="5">
        <v>53.155000000000001</v>
      </c>
      <c r="M492" s="5">
        <f t="shared" si="41"/>
        <v>31.872888888888891</v>
      </c>
      <c r="N492" s="5">
        <v>1.7070000000000001</v>
      </c>
      <c r="O492" s="5">
        <f t="shared" si="39"/>
        <v>780</v>
      </c>
      <c r="P492" s="5">
        <f t="shared" si="40"/>
        <v>90</v>
      </c>
      <c r="R492" s="5">
        <v>16.350000000000001</v>
      </c>
      <c r="S492" s="5">
        <v>16.23</v>
      </c>
      <c r="T492" s="5">
        <v>35.374000000000002</v>
      </c>
      <c r="U492" s="2">
        <v>0.41365000000000002</v>
      </c>
      <c r="V492" s="5">
        <v>78</v>
      </c>
      <c r="W492" s="5">
        <v>78</v>
      </c>
      <c r="AA492" s="2"/>
      <c r="AJ492" s="4"/>
      <c r="AR492" s="4"/>
    </row>
    <row r="493" spans="4:44">
      <c r="D493" s="5">
        <v>-16.625</v>
      </c>
      <c r="E493" s="5">
        <v>73.257500000000007</v>
      </c>
      <c r="F493" s="5">
        <v>27.998999999999999</v>
      </c>
      <c r="G493" s="2">
        <v>3.89</v>
      </c>
      <c r="H493" s="5">
        <f t="shared" si="37"/>
        <v>91.351757812499997</v>
      </c>
      <c r="I493" s="5">
        <f t="shared" si="38"/>
        <v>90</v>
      </c>
      <c r="K493" s="5">
        <v>3.25</v>
      </c>
      <c r="L493" s="5">
        <v>51.127499999999998</v>
      </c>
      <c r="M493" s="5">
        <f t="shared" si="41"/>
        <v>31.872888888888891</v>
      </c>
      <c r="N493" s="5">
        <v>1.7260000000000002</v>
      </c>
      <c r="O493" s="5">
        <f t="shared" si="39"/>
        <v>780</v>
      </c>
      <c r="P493" s="5">
        <f t="shared" si="40"/>
        <v>90</v>
      </c>
      <c r="R493" s="5">
        <v>16.324999999999999</v>
      </c>
      <c r="S493" s="5">
        <v>15.895</v>
      </c>
      <c r="T493" s="5">
        <v>35.374000000000002</v>
      </c>
      <c r="U493" s="2">
        <v>0.41367500000000001</v>
      </c>
      <c r="V493" s="5">
        <v>78</v>
      </c>
      <c r="W493" s="5">
        <v>78</v>
      </c>
      <c r="AA493" s="2"/>
      <c r="AJ493" s="4"/>
      <c r="AR493" s="4"/>
    </row>
    <row r="494" spans="4:44">
      <c r="D494" s="5">
        <v>-16.2</v>
      </c>
      <c r="E494" s="5">
        <v>72.900000000000006</v>
      </c>
      <c r="F494" s="5">
        <v>27.998999999999999</v>
      </c>
      <c r="G494" s="2">
        <v>3.8610000000000002</v>
      </c>
      <c r="H494" s="5">
        <f t="shared" si="37"/>
        <v>90.975499999999997</v>
      </c>
      <c r="I494" s="5">
        <f t="shared" si="38"/>
        <v>90</v>
      </c>
      <c r="K494" s="5">
        <v>2.6</v>
      </c>
      <c r="L494" s="5">
        <v>49.1</v>
      </c>
      <c r="M494" s="5">
        <f t="shared" si="41"/>
        <v>31.872888888888891</v>
      </c>
      <c r="N494" s="5">
        <v>1.7450000000000001</v>
      </c>
      <c r="O494" s="5">
        <f t="shared" si="39"/>
        <v>780</v>
      </c>
      <c r="P494" s="5">
        <f t="shared" si="40"/>
        <v>90</v>
      </c>
      <c r="R494" s="5">
        <v>16.3</v>
      </c>
      <c r="S494" s="5">
        <v>15.56</v>
      </c>
      <c r="T494" s="5">
        <v>35.374000000000002</v>
      </c>
      <c r="U494" s="2">
        <v>0.41370000000000001</v>
      </c>
      <c r="V494" s="5">
        <v>78</v>
      </c>
      <c r="W494" s="5">
        <v>78</v>
      </c>
      <c r="AA494" s="2"/>
      <c r="AJ494" s="4"/>
      <c r="AR494" s="4"/>
    </row>
    <row r="495" spans="4:44">
      <c r="D495" s="5">
        <v>-15.65</v>
      </c>
      <c r="E495" s="5">
        <v>72.58250000000001</v>
      </c>
      <c r="F495" s="5">
        <v>27.998999999999999</v>
      </c>
      <c r="G495" s="2">
        <v>3.8985000000000003</v>
      </c>
      <c r="H495" s="5">
        <f t="shared" si="37"/>
        <v>90.495281250000005</v>
      </c>
      <c r="I495" s="5">
        <f t="shared" si="38"/>
        <v>90</v>
      </c>
      <c r="K495" s="5">
        <v>2.125</v>
      </c>
      <c r="L495" s="5">
        <v>46.917499999999997</v>
      </c>
      <c r="M495" s="5">
        <f t="shared" si="41"/>
        <v>31.872888888888891</v>
      </c>
      <c r="N495" s="5">
        <v>1.6280000000000001</v>
      </c>
      <c r="O495" s="5">
        <f t="shared" si="39"/>
        <v>780</v>
      </c>
      <c r="P495" s="5">
        <f t="shared" si="40"/>
        <v>90</v>
      </c>
      <c r="R495" s="5">
        <v>16.2</v>
      </c>
      <c r="S495" s="5">
        <v>15.942499999999999</v>
      </c>
      <c r="T495" s="5">
        <v>35.374000000000002</v>
      </c>
      <c r="U495" s="2">
        <v>0.4138</v>
      </c>
      <c r="V495" s="5">
        <v>78</v>
      </c>
      <c r="W495" s="5">
        <v>78</v>
      </c>
      <c r="AA495" s="2"/>
      <c r="AJ495" s="4"/>
      <c r="AR495" s="4"/>
    </row>
    <row r="496" spans="4:44">
      <c r="D496" s="5">
        <v>-15.1</v>
      </c>
      <c r="E496" s="5">
        <v>72.265000000000001</v>
      </c>
      <c r="F496" s="5">
        <v>27.998999999999999</v>
      </c>
      <c r="G496" s="2">
        <v>3.9360000000000004</v>
      </c>
      <c r="H496" s="5">
        <f t="shared" si="37"/>
        <v>90.022625000000005</v>
      </c>
      <c r="I496" s="5">
        <f t="shared" si="38"/>
        <v>90</v>
      </c>
      <c r="K496" s="5">
        <v>1.65</v>
      </c>
      <c r="L496" s="5">
        <v>44.734999999999999</v>
      </c>
      <c r="M496" s="5">
        <f t="shared" si="41"/>
        <v>31.872888888888891</v>
      </c>
      <c r="N496" s="5">
        <v>1.5110000000000001</v>
      </c>
      <c r="O496" s="5">
        <f t="shared" si="39"/>
        <v>780</v>
      </c>
      <c r="P496" s="5">
        <f t="shared" si="40"/>
        <v>90</v>
      </c>
      <c r="R496" s="5">
        <v>16.100000000000001</v>
      </c>
      <c r="S496" s="5">
        <v>16.324999999999999</v>
      </c>
      <c r="T496" s="5">
        <v>35.374000000000002</v>
      </c>
      <c r="U496" s="2">
        <v>0.41389999999999999</v>
      </c>
      <c r="V496" s="5">
        <v>78</v>
      </c>
      <c r="W496" s="5">
        <v>78</v>
      </c>
      <c r="AA496" s="2"/>
      <c r="AJ496" s="4"/>
      <c r="AR496" s="4"/>
    </row>
    <row r="497" spans="4:44">
      <c r="D497" s="5">
        <v>-14.55</v>
      </c>
      <c r="E497" s="5">
        <v>71.947500000000005</v>
      </c>
      <c r="F497" s="5">
        <v>27.998999999999999</v>
      </c>
      <c r="G497" s="2">
        <v>3.9735</v>
      </c>
      <c r="H497" s="5">
        <f t="shared" si="37"/>
        <v>89.557531249999997</v>
      </c>
      <c r="I497" s="5">
        <f t="shared" si="38"/>
        <v>89.557531249999997</v>
      </c>
      <c r="K497" s="5">
        <v>1.175</v>
      </c>
      <c r="L497" s="5">
        <v>42.552500000000002</v>
      </c>
      <c r="M497" s="5">
        <f t="shared" si="41"/>
        <v>31.872888888888891</v>
      </c>
      <c r="N497" s="5">
        <v>1.3940000000000001</v>
      </c>
      <c r="O497" s="5">
        <f t="shared" si="39"/>
        <v>780</v>
      </c>
      <c r="P497" s="5">
        <f t="shared" si="40"/>
        <v>90</v>
      </c>
      <c r="R497" s="5">
        <v>16</v>
      </c>
      <c r="S497" s="5">
        <v>16.7075</v>
      </c>
      <c r="T497" s="5">
        <v>35.374000000000002</v>
      </c>
      <c r="U497" s="2">
        <v>0.41399999999999998</v>
      </c>
      <c r="V497" s="5">
        <v>78</v>
      </c>
      <c r="W497" s="5">
        <v>78</v>
      </c>
      <c r="AA497" s="2"/>
      <c r="AJ497" s="4"/>
      <c r="AR497" s="4"/>
    </row>
    <row r="498" spans="4:44">
      <c r="D498" s="5">
        <v>-14</v>
      </c>
      <c r="E498" s="5">
        <v>71.63</v>
      </c>
      <c r="F498" s="5">
        <v>27.998999999999999</v>
      </c>
      <c r="G498" s="2">
        <v>4.0110000000000001</v>
      </c>
      <c r="H498" s="5">
        <f t="shared" si="37"/>
        <v>89.1</v>
      </c>
      <c r="I498" s="5">
        <f t="shared" si="38"/>
        <v>89.1</v>
      </c>
      <c r="K498" s="5">
        <v>0.7</v>
      </c>
      <c r="L498" s="5">
        <v>40.369999999999997</v>
      </c>
      <c r="M498" s="5">
        <f t="shared" si="41"/>
        <v>31.872888888888891</v>
      </c>
      <c r="N498" s="5">
        <v>1.2769999999999999</v>
      </c>
      <c r="O498" s="5">
        <f t="shared" si="39"/>
        <v>780</v>
      </c>
      <c r="P498" s="5">
        <f t="shared" si="40"/>
        <v>90</v>
      </c>
      <c r="R498" s="5">
        <v>15.9</v>
      </c>
      <c r="S498" s="5">
        <v>17.09</v>
      </c>
      <c r="T498" s="5">
        <v>35.374000000000002</v>
      </c>
      <c r="U498" s="2">
        <v>0.41409999999999997</v>
      </c>
      <c r="V498" s="5">
        <v>78</v>
      </c>
      <c r="W498" s="5">
        <v>78</v>
      </c>
      <c r="AA498" s="2"/>
      <c r="AJ498" s="4"/>
      <c r="AR498" s="4"/>
    </row>
    <row r="499" spans="4:44">
      <c r="D499" s="5">
        <v>-13.925000000000001</v>
      </c>
      <c r="E499" s="5">
        <v>72.077500000000001</v>
      </c>
      <c r="F499" s="5">
        <v>27.998999999999999</v>
      </c>
      <c r="G499" s="2">
        <v>4.00725</v>
      </c>
      <c r="H499" s="5">
        <f t="shared" si="37"/>
        <v>89.038195312499994</v>
      </c>
      <c r="I499" s="5">
        <f t="shared" si="38"/>
        <v>89.038195312499994</v>
      </c>
      <c r="K499" s="5">
        <v>0.45</v>
      </c>
      <c r="L499" s="5">
        <v>39.11</v>
      </c>
      <c r="M499" s="5">
        <f t="shared" si="41"/>
        <v>31.872888888888891</v>
      </c>
      <c r="N499" s="5">
        <v>1.4795</v>
      </c>
      <c r="O499" s="5">
        <f t="shared" si="39"/>
        <v>780</v>
      </c>
      <c r="P499" s="5">
        <f t="shared" si="40"/>
        <v>90</v>
      </c>
      <c r="R499" s="5">
        <v>15.824999999999999</v>
      </c>
      <c r="S499" s="5">
        <v>18.105</v>
      </c>
      <c r="T499" s="5">
        <v>35.374000000000002</v>
      </c>
      <c r="U499" s="2">
        <v>0.41417500000000002</v>
      </c>
      <c r="V499" s="5">
        <v>78</v>
      </c>
      <c r="W499" s="5">
        <v>78</v>
      </c>
      <c r="AA499" s="2"/>
      <c r="AJ499" s="4"/>
      <c r="AR499" s="4"/>
    </row>
    <row r="500" spans="4:44">
      <c r="D500" s="5">
        <v>-13.85</v>
      </c>
      <c r="E500" s="5">
        <v>72.525000000000006</v>
      </c>
      <c r="F500" s="5">
        <v>27.998999999999999</v>
      </c>
      <c r="G500" s="2">
        <v>4.0034999999999998</v>
      </c>
      <c r="H500" s="5">
        <f t="shared" si="37"/>
        <v>88.976531249999994</v>
      </c>
      <c r="I500" s="5">
        <f t="shared" si="38"/>
        <v>88.976531249999994</v>
      </c>
      <c r="K500" s="5">
        <v>0.2</v>
      </c>
      <c r="L500" s="5">
        <v>37.85</v>
      </c>
      <c r="M500" s="5">
        <f t="shared" si="41"/>
        <v>31.872888888888891</v>
      </c>
      <c r="N500" s="5">
        <v>1.6819999999999999</v>
      </c>
      <c r="O500" s="5">
        <f t="shared" si="39"/>
        <v>780</v>
      </c>
      <c r="P500" s="5">
        <f t="shared" si="40"/>
        <v>90</v>
      </c>
      <c r="R500" s="5">
        <v>15.75</v>
      </c>
      <c r="S500" s="5">
        <v>19.119999999999997</v>
      </c>
      <c r="T500" s="5">
        <v>35.374000000000002</v>
      </c>
      <c r="U500" s="2">
        <v>0.41425000000000001</v>
      </c>
      <c r="V500" s="5">
        <v>78</v>
      </c>
      <c r="W500" s="5">
        <v>78</v>
      </c>
      <c r="AA500" s="2"/>
      <c r="AJ500" s="4"/>
      <c r="AR500" s="4"/>
    </row>
    <row r="501" spans="4:44">
      <c r="D501" s="5">
        <v>-13.775</v>
      </c>
      <c r="E501" s="5">
        <v>72.972499999999997</v>
      </c>
      <c r="F501" s="5">
        <v>27.998999999999999</v>
      </c>
      <c r="G501" s="2">
        <v>3.9997500000000001</v>
      </c>
      <c r="H501" s="5">
        <f t="shared" si="37"/>
        <v>88.915007812499994</v>
      </c>
      <c r="I501" s="5">
        <f t="shared" si="38"/>
        <v>88.915007812499994</v>
      </c>
      <c r="K501" s="5">
        <v>-5.0000000000000037E-2</v>
      </c>
      <c r="L501" s="5">
        <v>36.589999999999996</v>
      </c>
      <c r="M501" s="5">
        <f t="shared" si="41"/>
        <v>31.872888888888891</v>
      </c>
      <c r="N501" s="5">
        <v>1.8845000000000001</v>
      </c>
      <c r="O501" s="5">
        <f t="shared" si="39"/>
        <v>80.023781249999999</v>
      </c>
      <c r="P501" s="5">
        <f t="shared" si="40"/>
        <v>80.023781249999999</v>
      </c>
      <c r="R501" s="5">
        <v>15.675000000000001</v>
      </c>
      <c r="S501" s="5">
        <v>20.135000000000002</v>
      </c>
      <c r="T501" s="5">
        <v>35.374000000000002</v>
      </c>
      <c r="U501" s="2">
        <v>0.414325</v>
      </c>
      <c r="V501" s="5">
        <v>78</v>
      </c>
      <c r="W501" s="5">
        <v>78</v>
      </c>
      <c r="AA501" s="2"/>
      <c r="AJ501" s="4"/>
      <c r="AR501" s="4"/>
    </row>
    <row r="502" spans="4:44">
      <c r="D502" s="5">
        <v>-13.7</v>
      </c>
      <c r="E502" s="5">
        <v>73.42</v>
      </c>
      <c r="F502" s="5">
        <v>27.998999999999999</v>
      </c>
      <c r="G502" s="2">
        <v>3.996</v>
      </c>
      <c r="H502" s="5">
        <f t="shared" si="37"/>
        <v>88.853624999999994</v>
      </c>
      <c r="I502" s="5">
        <f t="shared" si="38"/>
        <v>88.853624999999994</v>
      </c>
      <c r="K502" s="5">
        <v>-0.3</v>
      </c>
      <c r="L502" s="5">
        <v>35.33</v>
      </c>
      <c r="M502" s="5">
        <f t="shared" si="41"/>
        <v>31.872888888888891</v>
      </c>
      <c r="N502" s="5">
        <v>2.0869999999999997</v>
      </c>
      <c r="O502" s="5">
        <f t="shared" si="39"/>
        <v>80.143625</v>
      </c>
      <c r="P502" s="5">
        <f t="shared" si="40"/>
        <v>80.143625</v>
      </c>
      <c r="R502" s="5">
        <v>15.6</v>
      </c>
      <c r="S502" s="5">
        <v>21.150000000000002</v>
      </c>
      <c r="T502" s="5">
        <v>35.374000000000002</v>
      </c>
      <c r="U502" s="2">
        <v>0.41439999999999999</v>
      </c>
      <c r="V502" s="5">
        <v>78</v>
      </c>
      <c r="W502" s="5">
        <v>78</v>
      </c>
      <c r="AA502" s="2"/>
      <c r="AJ502" s="4"/>
      <c r="AR502" s="4"/>
    </row>
    <row r="503" spans="4:44">
      <c r="D503" s="5">
        <v>-13.75</v>
      </c>
      <c r="E503" s="5">
        <v>75.215000000000003</v>
      </c>
      <c r="F503" s="5">
        <v>27.998999999999999</v>
      </c>
      <c r="G503" s="2">
        <v>3.9819999999999998</v>
      </c>
      <c r="H503" s="5">
        <f t="shared" si="37"/>
        <v>88.89453125</v>
      </c>
      <c r="I503" s="5">
        <f t="shared" si="38"/>
        <v>88.89453125</v>
      </c>
      <c r="K503" s="5">
        <v>0</v>
      </c>
      <c r="L503" s="5">
        <v>34.8125</v>
      </c>
      <c r="M503" s="5">
        <f t="shared" si="41"/>
        <v>31.872888888888891</v>
      </c>
      <c r="N503" s="5">
        <v>2.0709999999999997</v>
      </c>
      <c r="O503" s="5">
        <f t="shared" si="39"/>
        <v>780</v>
      </c>
      <c r="P503" s="5">
        <f t="shared" si="40"/>
        <v>90</v>
      </c>
      <c r="R503" s="5">
        <v>15.574999999999999</v>
      </c>
      <c r="S503" s="5">
        <v>21.754999999999999</v>
      </c>
      <c r="T503" s="5">
        <v>35.374000000000002</v>
      </c>
      <c r="U503" s="2">
        <v>0.41442499999999999</v>
      </c>
      <c r="V503" s="5">
        <v>78</v>
      </c>
      <c r="W503" s="5">
        <v>78</v>
      </c>
      <c r="AA503" s="2"/>
      <c r="AJ503" s="4"/>
      <c r="AR503" s="4"/>
    </row>
    <row r="504" spans="4:44">
      <c r="D504" s="5">
        <v>-13.8</v>
      </c>
      <c r="E504" s="5">
        <v>77.010000000000019</v>
      </c>
      <c r="F504" s="5">
        <v>27.998999999999999</v>
      </c>
      <c r="G504" s="2">
        <v>3.968</v>
      </c>
      <c r="H504" s="5">
        <f t="shared" si="37"/>
        <v>88.935500000000005</v>
      </c>
      <c r="I504" s="5">
        <f t="shared" si="38"/>
        <v>88.935500000000005</v>
      </c>
      <c r="K504" s="5">
        <v>0.3</v>
      </c>
      <c r="L504" s="5">
        <v>34.295000000000002</v>
      </c>
      <c r="M504" s="5">
        <f t="shared" si="41"/>
        <v>31.872888888888891</v>
      </c>
      <c r="N504" s="5">
        <v>2.0549999999999997</v>
      </c>
      <c r="O504" s="5">
        <f t="shared" si="39"/>
        <v>780</v>
      </c>
      <c r="P504" s="5">
        <f t="shared" si="40"/>
        <v>90</v>
      </c>
      <c r="R504" s="5">
        <v>15.55</v>
      </c>
      <c r="S504" s="5">
        <v>22.360000000000003</v>
      </c>
      <c r="T504" s="5">
        <v>35.374000000000002</v>
      </c>
      <c r="U504" s="2">
        <v>0.41444999999999999</v>
      </c>
      <c r="V504" s="5">
        <v>78</v>
      </c>
      <c r="W504" s="5">
        <v>78</v>
      </c>
      <c r="AA504" s="2"/>
      <c r="AJ504" s="4"/>
      <c r="AR504" s="4"/>
    </row>
    <row r="505" spans="4:44">
      <c r="D505" s="5">
        <v>-13.85</v>
      </c>
      <c r="E505" s="5">
        <v>78.805000000000007</v>
      </c>
      <c r="F505" s="5">
        <v>27.998999999999999</v>
      </c>
      <c r="G505" s="2">
        <v>3.9540000000000002</v>
      </c>
      <c r="H505" s="5">
        <f t="shared" si="37"/>
        <v>88.976531249999994</v>
      </c>
      <c r="I505" s="5">
        <f t="shared" si="38"/>
        <v>88.976531249999994</v>
      </c>
      <c r="K505" s="5">
        <v>0.59999999999999987</v>
      </c>
      <c r="L505" s="5">
        <v>33.777499999999996</v>
      </c>
      <c r="M505" s="5">
        <f t="shared" si="41"/>
        <v>31.872888888888891</v>
      </c>
      <c r="N505" s="5">
        <v>2.0390000000000001</v>
      </c>
      <c r="O505" s="5">
        <f t="shared" si="39"/>
        <v>780</v>
      </c>
      <c r="P505" s="5">
        <f t="shared" si="40"/>
        <v>90</v>
      </c>
      <c r="R505" s="5">
        <v>15.525</v>
      </c>
      <c r="S505" s="5">
        <v>22.965</v>
      </c>
      <c r="T505" s="5">
        <v>35.374000000000002</v>
      </c>
      <c r="U505" s="2">
        <v>0.41447499999999998</v>
      </c>
      <c r="V505" s="5">
        <v>78</v>
      </c>
      <c r="W505" s="5">
        <v>78</v>
      </c>
      <c r="AA505" s="2"/>
      <c r="AJ505" s="4"/>
      <c r="AR505" s="4"/>
    </row>
    <row r="506" spans="4:44">
      <c r="D506" s="5">
        <v>-13.9</v>
      </c>
      <c r="E506" s="5">
        <v>80.600000000000009</v>
      </c>
      <c r="F506" s="5">
        <v>27.998999999999999</v>
      </c>
      <c r="G506" s="2">
        <v>3.94</v>
      </c>
      <c r="H506" s="5">
        <f t="shared" si="37"/>
        <v>89.017624999999995</v>
      </c>
      <c r="I506" s="5">
        <f t="shared" si="38"/>
        <v>89.017624999999995</v>
      </c>
      <c r="K506" s="5">
        <v>0.9</v>
      </c>
      <c r="L506" s="5">
        <v>33.26</v>
      </c>
      <c r="M506" s="5">
        <f t="shared" si="41"/>
        <v>31.872888888888891</v>
      </c>
      <c r="N506" s="5">
        <v>2.0230000000000001</v>
      </c>
      <c r="O506" s="5">
        <f t="shared" si="39"/>
        <v>780</v>
      </c>
      <c r="P506" s="5">
        <f t="shared" si="40"/>
        <v>90</v>
      </c>
      <c r="R506" s="5">
        <v>15.5</v>
      </c>
      <c r="S506" s="5">
        <v>23.57</v>
      </c>
      <c r="T506" s="5">
        <v>35.374000000000002</v>
      </c>
      <c r="U506" s="2">
        <v>0.41449999999999998</v>
      </c>
      <c r="V506" s="5">
        <v>78</v>
      </c>
      <c r="W506" s="5">
        <v>78</v>
      </c>
      <c r="AA506" s="2"/>
      <c r="AJ506" s="4"/>
      <c r="AR506" s="4"/>
    </row>
    <row r="507" spans="4:44">
      <c r="D507" s="5">
        <v>-14</v>
      </c>
      <c r="E507" s="5">
        <v>89.922499999999999</v>
      </c>
      <c r="F507" s="5">
        <v>27.998999999999999</v>
      </c>
      <c r="G507" s="2">
        <v>4.0462499999999997</v>
      </c>
      <c r="H507" s="5">
        <f t="shared" si="37"/>
        <v>89.1</v>
      </c>
      <c r="I507" s="5">
        <f t="shared" si="38"/>
        <v>89.1</v>
      </c>
      <c r="K507" s="5">
        <v>1.375</v>
      </c>
      <c r="L507" s="5">
        <v>29.6325</v>
      </c>
      <c r="M507" s="5">
        <f t="shared" si="41"/>
        <v>31.872888888888891</v>
      </c>
      <c r="N507" s="5">
        <v>1.9897500000000001</v>
      </c>
      <c r="O507" s="5">
        <f t="shared" si="39"/>
        <v>780</v>
      </c>
      <c r="P507" s="5">
        <f t="shared" si="40"/>
        <v>90</v>
      </c>
      <c r="R507" s="5">
        <v>15.574999999999999</v>
      </c>
      <c r="S507" s="5">
        <v>25.5425</v>
      </c>
      <c r="T507" s="5">
        <v>35.374000000000002</v>
      </c>
      <c r="U507" s="2">
        <v>0.41442499999999999</v>
      </c>
      <c r="V507" s="5">
        <v>78</v>
      </c>
      <c r="W507" s="5">
        <v>78</v>
      </c>
      <c r="AA507" s="2"/>
      <c r="AJ507" s="4"/>
      <c r="AR507" s="4"/>
    </row>
    <row r="508" spans="4:44">
      <c r="D508" s="5">
        <v>-14.1</v>
      </c>
      <c r="E508" s="5">
        <v>99.245000000000005</v>
      </c>
      <c r="F508" s="5">
        <v>27.998999999999999</v>
      </c>
      <c r="G508" s="2">
        <v>4.1524999999999999</v>
      </c>
      <c r="H508" s="5">
        <f t="shared" si="37"/>
        <v>89.182625000000002</v>
      </c>
      <c r="I508" s="5">
        <f t="shared" si="38"/>
        <v>89.182625000000002</v>
      </c>
      <c r="K508" s="5">
        <v>1.85</v>
      </c>
      <c r="L508" s="5">
        <v>26.004999999999999</v>
      </c>
      <c r="M508" s="5">
        <f t="shared" si="41"/>
        <v>31.872888888888891</v>
      </c>
      <c r="N508" s="5">
        <v>1.9565000000000001</v>
      </c>
      <c r="O508" s="5">
        <f t="shared" si="39"/>
        <v>780</v>
      </c>
      <c r="P508" s="5">
        <f t="shared" si="40"/>
        <v>90</v>
      </c>
      <c r="R508" s="5">
        <v>15.65</v>
      </c>
      <c r="S508" s="5">
        <v>27.515000000000001</v>
      </c>
      <c r="T508" s="5">
        <v>35.374000000000002</v>
      </c>
      <c r="U508" s="2">
        <v>0.41435</v>
      </c>
      <c r="V508" s="5">
        <v>78</v>
      </c>
      <c r="W508" s="5">
        <v>78</v>
      </c>
      <c r="AA508" s="2"/>
      <c r="AJ508" s="4"/>
      <c r="AR508" s="4"/>
    </row>
    <row r="509" spans="4:44">
      <c r="D509" s="5">
        <v>-14.2</v>
      </c>
      <c r="E509" s="5">
        <v>108.5675</v>
      </c>
      <c r="F509" s="5">
        <v>27.998999999999999</v>
      </c>
      <c r="G509" s="2">
        <v>4.25875</v>
      </c>
      <c r="H509" s="5">
        <f t="shared" si="37"/>
        <v>89.265500000000003</v>
      </c>
      <c r="I509" s="5">
        <f t="shared" si="38"/>
        <v>89.265500000000003</v>
      </c>
      <c r="K509" s="5">
        <v>2.3250000000000002</v>
      </c>
      <c r="L509" s="5">
        <v>22.377500000000001</v>
      </c>
      <c r="M509" s="5">
        <f t="shared" si="41"/>
        <v>31.872888888888891</v>
      </c>
      <c r="N509" s="5">
        <v>1.9232500000000001</v>
      </c>
      <c r="O509" s="5">
        <f t="shared" si="39"/>
        <v>780</v>
      </c>
      <c r="P509" s="5">
        <f t="shared" si="40"/>
        <v>90</v>
      </c>
      <c r="R509" s="5">
        <v>15.725</v>
      </c>
      <c r="S509" s="5">
        <v>29.487500000000001</v>
      </c>
      <c r="T509" s="5">
        <v>35.374000000000002</v>
      </c>
      <c r="U509" s="2">
        <v>0.414275</v>
      </c>
      <c r="V509" s="5">
        <v>78</v>
      </c>
      <c r="W509" s="5">
        <v>78</v>
      </c>
      <c r="AA509" s="2"/>
      <c r="AJ509" s="4"/>
      <c r="AR509" s="4"/>
    </row>
    <row r="510" spans="4:44">
      <c r="D510" s="5">
        <v>-14.3</v>
      </c>
      <c r="E510" s="5">
        <v>117.89</v>
      </c>
      <c r="F510" s="5">
        <v>27.998999999999999</v>
      </c>
      <c r="G510" s="2">
        <v>4.3650000000000002</v>
      </c>
      <c r="H510" s="5">
        <f t="shared" si="37"/>
        <v>89.348624999999998</v>
      </c>
      <c r="I510" s="5">
        <f t="shared" si="38"/>
        <v>89.348624999999998</v>
      </c>
      <c r="K510" s="5">
        <v>2.8</v>
      </c>
      <c r="L510" s="5">
        <v>18.75</v>
      </c>
      <c r="M510" s="5">
        <f t="shared" si="41"/>
        <v>31.872888888888891</v>
      </c>
      <c r="N510" s="5">
        <v>1.8900000000000001</v>
      </c>
      <c r="O510" s="5">
        <f t="shared" si="39"/>
        <v>780</v>
      </c>
      <c r="P510" s="5">
        <f t="shared" si="40"/>
        <v>90</v>
      </c>
      <c r="R510" s="5">
        <v>15.8</v>
      </c>
      <c r="S510" s="5">
        <v>31.46</v>
      </c>
      <c r="T510" s="5">
        <v>35.374000000000002</v>
      </c>
      <c r="U510" s="2">
        <v>0.41420000000000001</v>
      </c>
      <c r="V510" s="5">
        <v>78</v>
      </c>
      <c r="W510" s="5">
        <v>78</v>
      </c>
      <c r="AA510" s="2"/>
      <c r="AJ510" s="4"/>
      <c r="AR510" s="4"/>
    </row>
    <row r="511" spans="4:44">
      <c r="D511" s="5">
        <v>-14.2</v>
      </c>
      <c r="E511" s="5">
        <v>116.345</v>
      </c>
      <c r="F511" s="5">
        <v>27.998999999999999</v>
      </c>
      <c r="G511" s="2">
        <v>4.4237500000000001</v>
      </c>
      <c r="H511" s="5">
        <f t="shared" si="37"/>
        <v>89.265500000000003</v>
      </c>
      <c r="I511" s="5">
        <f t="shared" si="38"/>
        <v>89.265500000000003</v>
      </c>
      <c r="K511" s="5">
        <v>2.875</v>
      </c>
      <c r="L511" s="5">
        <v>22.047500000000003</v>
      </c>
      <c r="M511" s="5">
        <f t="shared" si="41"/>
        <v>31.872888888888891</v>
      </c>
      <c r="N511" s="5">
        <v>1.89775</v>
      </c>
      <c r="O511" s="5">
        <f t="shared" si="39"/>
        <v>780</v>
      </c>
      <c r="P511" s="5">
        <f t="shared" si="40"/>
        <v>90</v>
      </c>
      <c r="R511" s="5">
        <v>15.85</v>
      </c>
      <c r="S511" s="5">
        <v>31.995000000000001</v>
      </c>
      <c r="T511" s="5">
        <v>35.374000000000002</v>
      </c>
      <c r="U511" s="2">
        <v>0.41415000000000002</v>
      </c>
      <c r="V511" s="5">
        <v>78</v>
      </c>
      <c r="W511" s="5">
        <v>78</v>
      </c>
      <c r="AA511" s="2"/>
      <c r="AJ511" s="4"/>
      <c r="AR511" s="4"/>
    </row>
    <row r="512" spans="4:44">
      <c r="D512" s="5">
        <v>-14.1</v>
      </c>
      <c r="E512" s="5">
        <v>114.80000000000001</v>
      </c>
      <c r="F512" s="5">
        <v>27.998999999999999</v>
      </c>
      <c r="G512" s="2">
        <v>4.4824999999999999</v>
      </c>
      <c r="H512" s="5">
        <f t="shared" si="37"/>
        <v>89.182625000000002</v>
      </c>
      <c r="I512" s="5">
        <f t="shared" si="38"/>
        <v>89.182625000000002</v>
      </c>
      <c r="K512" s="5">
        <v>2.95</v>
      </c>
      <c r="L512" s="5">
        <v>25.344999999999999</v>
      </c>
      <c r="M512" s="5">
        <f t="shared" si="41"/>
        <v>31.872888888888891</v>
      </c>
      <c r="N512" s="5">
        <v>1.9055000000000002</v>
      </c>
      <c r="O512" s="5">
        <f t="shared" si="39"/>
        <v>780</v>
      </c>
      <c r="P512" s="5">
        <f t="shared" si="40"/>
        <v>90</v>
      </c>
      <c r="R512" s="5">
        <v>15.9</v>
      </c>
      <c r="S512" s="5">
        <v>32.53</v>
      </c>
      <c r="T512" s="5">
        <v>35.374000000000002</v>
      </c>
      <c r="U512" s="2">
        <v>0.41409999999999997</v>
      </c>
      <c r="V512" s="5">
        <v>78</v>
      </c>
      <c r="W512" s="5">
        <v>78</v>
      </c>
      <c r="AA512" s="2"/>
      <c r="AJ512" s="4"/>
      <c r="AR512" s="4"/>
    </row>
    <row r="513" spans="4:44">
      <c r="D513" s="5">
        <v>-14</v>
      </c>
      <c r="E513" s="5">
        <v>113.255</v>
      </c>
      <c r="F513" s="5">
        <v>27.998999999999999</v>
      </c>
      <c r="G513" s="2">
        <v>4.5412499999999998</v>
      </c>
      <c r="H513" s="5">
        <f t="shared" si="37"/>
        <v>89.1</v>
      </c>
      <c r="I513" s="5">
        <f t="shared" si="38"/>
        <v>89.1</v>
      </c>
      <c r="K513" s="5">
        <v>3.0249999999999999</v>
      </c>
      <c r="L513" s="5">
        <v>28.642500000000002</v>
      </c>
      <c r="M513" s="5">
        <f t="shared" si="41"/>
        <v>31.872888888888891</v>
      </c>
      <c r="N513" s="5">
        <v>1.9132500000000001</v>
      </c>
      <c r="O513" s="5">
        <f t="shared" si="39"/>
        <v>780</v>
      </c>
      <c r="P513" s="5">
        <f t="shared" si="40"/>
        <v>90</v>
      </c>
      <c r="R513" s="5">
        <v>15.95</v>
      </c>
      <c r="S513" s="5">
        <v>33.065000000000005</v>
      </c>
      <c r="T513" s="5">
        <v>35.374000000000002</v>
      </c>
      <c r="U513" s="2">
        <v>0.41404999999999997</v>
      </c>
      <c r="V513" s="5">
        <v>78</v>
      </c>
      <c r="W513" s="5">
        <v>78</v>
      </c>
      <c r="AA513" s="2"/>
      <c r="AJ513" s="4"/>
      <c r="AR513" s="4"/>
    </row>
    <row r="514" spans="4:44">
      <c r="D514" s="5">
        <v>-13.9</v>
      </c>
      <c r="E514" s="5">
        <v>111.71</v>
      </c>
      <c r="F514" s="5">
        <v>27.998999999999999</v>
      </c>
      <c r="G514" s="2">
        <v>4.5999999999999996</v>
      </c>
      <c r="H514" s="5">
        <f t="shared" si="37"/>
        <v>89.017624999999995</v>
      </c>
      <c r="I514" s="5">
        <f t="shared" si="38"/>
        <v>89.017624999999995</v>
      </c>
      <c r="K514" s="5">
        <v>3.1</v>
      </c>
      <c r="L514" s="5">
        <v>31.939999999999998</v>
      </c>
      <c r="M514" s="5">
        <f t="shared" ref="M514:M545" si="42">$M$481-($M$481-$M$578)/3</f>
        <v>31.872888888888891</v>
      </c>
      <c r="N514" s="5">
        <v>1.921</v>
      </c>
      <c r="O514" s="5">
        <f t="shared" si="39"/>
        <v>780</v>
      </c>
      <c r="P514" s="5">
        <f t="shared" si="40"/>
        <v>90</v>
      </c>
      <c r="R514" s="5">
        <v>16</v>
      </c>
      <c r="S514" s="5">
        <v>33.6</v>
      </c>
      <c r="T514" s="5">
        <v>35.374000000000002</v>
      </c>
      <c r="U514" s="2">
        <v>0.41399999999999998</v>
      </c>
      <c r="V514" s="5">
        <v>78</v>
      </c>
      <c r="W514" s="5">
        <v>78</v>
      </c>
      <c r="AA514" s="2"/>
      <c r="AJ514" s="4"/>
      <c r="AR514" s="4"/>
    </row>
    <row r="515" spans="4:44">
      <c r="D515" s="5">
        <v>-13.8</v>
      </c>
      <c r="E515" s="5">
        <v>115.08749999999999</v>
      </c>
      <c r="F515" s="5">
        <v>27.998999999999999</v>
      </c>
      <c r="G515" s="2">
        <v>4.6312499999999996</v>
      </c>
      <c r="H515" s="5">
        <f t="shared" ref="H515:H578" si="43">IF(D515&lt;0,0.0125*D515^2-0.475*D515+80,80)</f>
        <v>88.935500000000005</v>
      </c>
      <c r="I515" s="5">
        <f t="shared" ref="I515:I578" si="44">IF(H515&lt;90,H515,90)</f>
        <v>88.935500000000005</v>
      </c>
      <c r="K515" s="5">
        <v>3.2</v>
      </c>
      <c r="L515" s="5">
        <v>33.137500000000003</v>
      </c>
      <c r="M515" s="5">
        <f t="shared" si="42"/>
        <v>31.872888888888891</v>
      </c>
      <c r="N515" s="5">
        <v>1.93275</v>
      </c>
      <c r="O515" s="5">
        <f t="shared" ref="O515:O578" si="45">IF(K515&lt;0,0.0125*K515^2-0.475*K515+80,780)</f>
        <v>780</v>
      </c>
      <c r="P515" s="5">
        <f t="shared" ref="P515:P578" si="46">IF(O515&lt;90,O515,90)</f>
        <v>90</v>
      </c>
      <c r="R515" s="5">
        <v>16.074999999999999</v>
      </c>
      <c r="S515" s="5">
        <v>33.75</v>
      </c>
      <c r="T515" s="5">
        <v>35.374000000000002</v>
      </c>
      <c r="U515" s="2">
        <v>0.41392499999999999</v>
      </c>
      <c r="V515" s="5">
        <v>78</v>
      </c>
      <c r="W515" s="5">
        <v>78</v>
      </c>
      <c r="AA515" s="2"/>
      <c r="AJ515" s="4"/>
      <c r="AR515" s="4"/>
    </row>
    <row r="516" spans="4:44">
      <c r="D516" s="5">
        <v>-13.7</v>
      </c>
      <c r="E516" s="5">
        <v>118.465</v>
      </c>
      <c r="F516" s="5">
        <v>27.998999999999999</v>
      </c>
      <c r="G516" s="2">
        <v>4.6624999999999996</v>
      </c>
      <c r="H516" s="5">
        <f t="shared" si="43"/>
        <v>88.853624999999994</v>
      </c>
      <c r="I516" s="5">
        <f t="shared" si="44"/>
        <v>88.853624999999994</v>
      </c>
      <c r="K516" s="5">
        <v>3.3</v>
      </c>
      <c r="L516" s="5">
        <v>34.335000000000001</v>
      </c>
      <c r="M516" s="5">
        <f t="shared" si="42"/>
        <v>31.872888888888891</v>
      </c>
      <c r="N516" s="5">
        <v>1.9444999999999999</v>
      </c>
      <c r="O516" s="5">
        <f t="shared" si="45"/>
        <v>780</v>
      </c>
      <c r="P516" s="5">
        <f t="shared" si="46"/>
        <v>90</v>
      </c>
      <c r="R516" s="5">
        <v>16.149999999999999</v>
      </c>
      <c r="S516" s="5">
        <v>33.9</v>
      </c>
      <c r="T516" s="5">
        <v>35.374000000000002</v>
      </c>
      <c r="U516" s="2">
        <v>0.41385</v>
      </c>
      <c r="V516" s="5">
        <v>78</v>
      </c>
      <c r="W516" s="5">
        <v>78</v>
      </c>
      <c r="AA516" s="2"/>
      <c r="AJ516" s="4"/>
      <c r="AR516" s="4"/>
    </row>
    <row r="517" spans="4:44">
      <c r="D517" s="5">
        <v>-13.6</v>
      </c>
      <c r="E517" s="5">
        <v>121.8425</v>
      </c>
      <c r="F517" s="5">
        <v>27.998999999999999</v>
      </c>
      <c r="G517" s="2">
        <v>4.6937499999999996</v>
      </c>
      <c r="H517" s="5">
        <f t="shared" si="43"/>
        <v>88.772000000000006</v>
      </c>
      <c r="I517" s="5">
        <f t="shared" si="44"/>
        <v>88.772000000000006</v>
      </c>
      <c r="K517" s="5">
        <v>3.4</v>
      </c>
      <c r="L517" s="5">
        <v>35.532499999999999</v>
      </c>
      <c r="M517" s="5">
        <f t="shared" si="42"/>
        <v>31.872888888888891</v>
      </c>
      <c r="N517" s="5">
        <v>1.95625</v>
      </c>
      <c r="O517" s="5">
        <f t="shared" si="45"/>
        <v>780</v>
      </c>
      <c r="P517" s="5">
        <f t="shared" si="46"/>
        <v>90</v>
      </c>
      <c r="R517" s="5">
        <v>16.225000000000001</v>
      </c>
      <c r="S517" s="5">
        <v>34.049999999999997</v>
      </c>
      <c r="T517" s="5">
        <v>35.374000000000002</v>
      </c>
      <c r="U517" s="2">
        <v>0.413775</v>
      </c>
      <c r="V517" s="5">
        <v>78</v>
      </c>
      <c r="W517" s="5">
        <v>78</v>
      </c>
      <c r="AA517" s="2"/>
      <c r="AJ517" s="4"/>
      <c r="AR517" s="4"/>
    </row>
    <row r="518" spans="4:44">
      <c r="D518" s="5">
        <v>-13.5</v>
      </c>
      <c r="E518" s="5">
        <v>125.22</v>
      </c>
      <c r="F518" s="5">
        <v>27.998999999999999</v>
      </c>
      <c r="G518" s="2">
        <v>4.7249999999999996</v>
      </c>
      <c r="H518" s="5">
        <f t="shared" si="43"/>
        <v>88.690624999999997</v>
      </c>
      <c r="I518" s="5">
        <f t="shared" si="44"/>
        <v>88.690624999999997</v>
      </c>
      <c r="K518" s="5">
        <v>3.5</v>
      </c>
      <c r="L518" s="5">
        <v>36.730000000000004</v>
      </c>
      <c r="M518" s="5">
        <f t="shared" si="42"/>
        <v>31.872888888888891</v>
      </c>
      <c r="N518" s="5">
        <v>1.968</v>
      </c>
      <c r="O518" s="5">
        <f t="shared" si="45"/>
        <v>780</v>
      </c>
      <c r="P518" s="5">
        <f t="shared" si="46"/>
        <v>90</v>
      </c>
      <c r="R518" s="5">
        <v>16.3</v>
      </c>
      <c r="S518" s="5">
        <v>34.200000000000003</v>
      </c>
      <c r="T518" s="5">
        <v>35.374000000000002</v>
      </c>
      <c r="U518" s="2">
        <v>0.41370000000000001</v>
      </c>
      <c r="V518" s="5">
        <v>78</v>
      </c>
      <c r="W518" s="5">
        <v>78</v>
      </c>
      <c r="AA518" s="2"/>
      <c r="AJ518" s="4"/>
      <c r="AR518" s="4"/>
    </row>
    <row r="519" spans="4:44">
      <c r="D519" s="5">
        <v>-13.324999999999999</v>
      </c>
      <c r="E519" s="5">
        <v>122.96250000000001</v>
      </c>
      <c r="F519" s="5">
        <v>27.998999999999999</v>
      </c>
      <c r="G519" s="2">
        <v>4.7164999999999999</v>
      </c>
      <c r="H519" s="5">
        <f t="shared" si="43"/>
        <v>88.548820312499998</v>
      </c>
      <c r="I519" s="5">
        <f t="shared" si="44"/>
        <v>88.548820312499998</v>
      </c>
      <c r="K519" s="5">
        <v>3.8</v>
      </c>
      <c r="L519" s="5">
        <v>37.572499999999998</v>
      </c>
      <c r="M519" s="5">
        <f t="shared" si="42"/>
        <v>31.872888888888891</v>
      </c>
      <c r="N519" s="5">
        <v>1.9079999999999999</v>
      </c>
      <c r="O519" s="5">
        <f t="shared" si="45"/>
        <v>780</v>
      </c>
      <c r="P519" s="5">
        <f t="shared" si="46"/>
        <v>90</v>
      </c>
      <c r="R519" s="5">
        <v>16.5</v>
      </c>
      <c r="S519" s="5">
        <v>34.055</v>
      </c>
      <c r="T519" s="5">
        <v>35.374000000000002</v>
      </c>
      <c r="U519" s="2">
        <v>0.41349999999999998</v>
      </c>
      <c r="V519" s="5">
        <v>78</v>
      </c>
      <c r="W519" s="5">
        <v>78</v>
      </c>
      <c r="AA519" s="2"/>
      <c r="AJ519" s="4"/>
      <c r="AR519" s="4"/>
    </row>
    <row r="520" spans="4:44">
      <c r="D520" s="5">
        <v>-13.15</v>
      </c>
      <c r="E520" s="5">
        <v>120.70499999999998</v>
      </c>
      <c r="F520" s="5">
        <v>27.998999999999999</v>
      </c>
      <c r="G520" s="2">
        <v>4.7080000000000002</v>
      </c>
      <c r="H520" s="5">
        <f t="shared" si="43"/>
        <v>88.407781249999999</v>
      </c>
      <c r="I520" s="5">
        <f t="shared" si="44"/>
        <v>88.407781249999999</v>
      </c>
      <c r="K520" s="5">
        <v>4.0999999999999996</v>
      </c>
      <c r="L520" s="5">
        <v>38.414999999999999</v>
      </c>
      <c r="M520" s="5">
        <f t="shared" si="42"/>
        <v>31.872888888888891</v>
      </c>
      <c r="N520" s="5">
        <v>1.8480000000000001</v>
      </c>
      <c r="O520" s="5">
        <f t="shared" si="45"/>
        <v>780</v>
      </c>
      <c r="P520" s="5">
        <f t="shared" si="46"/>
        <v>90</v>
      </c>
      <c r="R520" s="5">
        <v>16.7</v>
      </c>
      <c r="S520" s="5">
        <v>33.909999999999997</v>
      </c>
      <c r="T520" s="5">
        <v>35.374000000000002</v>
      </c>
      <c r="U520" s="2">
        <v>0.4133</v>
      </c>
      <c r="V520" s="5">
        <v>78</v>
      </c>
      <c r="W520" s="5">
        <v>78</v>
      </c>
      <c r="AA520" s="2"/>
      <c r="AJ520" s="4"/>
      <c r="AR520" s="4"/>
    </row>
    <row r="521" spans="4:44">
      <c r="D521" s="5">
        <v>-12.975</v>
      </c>
      <c r="E521" s="5">
        <v>118.44749999999999</v>
      </c>
      <c r="F521" s="5">
        <v>27.998999999999999</v>
      </c>
      <c r="G521" s="2">
        <v>4.6994999999999996</v>
      </c>
      <c r="H521" s="5">
        <f t="shared" si="43"/>
        <v>88.2675078125</v>
      </c>
      <c r="I521" s="5">
        <f t="shared" si="44"/>
        <v>88.2675078125</v>
      </c>
      <c r="K521" s="5">
        <v>4.4000000000000004</v>
      </c>
      <c r="L521" s="5">
        <v>39.2575</v>
      </c>
      <c r="M521" s="5">
        <f t="shared" si="42"/>
        <v>31.872888888888891</v>
      </c>
      <c r="N521" s="5">
        <v>1.788</v>
      </c>
      <c r="O521" s="5">
        <f t="shared" si="45"/>
        <v>780</v>
      </c>
      <c r="P521" s="5">
        <f t="shared" si="46"/>
        <v>90</v>
      </c>
      <c r="R521" s="5">
        <v>16.899999999999999</v>
      </c>
      <c r="S521" s="5">
        <v>33.765000000000001</v>
      </c>
      <c r="T521" s="5">
        <v>35.374000000000002</v>
      </c>
      <c r="U521" s="2">
        <v>0.41310000000000002</v>
      </c>
      <c r="V521" s="5">
        <v>78</v>
      </c>
      <c r="W521" s="5">
        <v>78</v>
      </c>
      <c r="AA521" s="2"/>
      <c r="AJ521" s="4"/>
      <c r="AR521" s="4"/>
    </row>
    <row r="522" spans="4:44">
      <c r="D522" s="5">
        <v>-12.8</v>
      </c>
      <c r="E522" s="5">
        <v>116.19</v>
      </c>
      <c r="F522" s="5">
        <v>27.998999999999999</v>
      </c>
      <c r="G522" s="2">
        <v>4.6909999999999998</v>
      </c>
      <c r="H522" s="5">
        <f t="shared" si="43"/>
        <v>88.128</v>
      </c>
      <c r="I522" s="5">
        <f t="shared" si="44"/>
        <v>88.128</v>
      </c>
      <c r="K522" s="5">
        <v>4.7</v>
      </c>
      <c r="L522" s="5">
        <v>40.099999999999994</v>
      </c>
      <c r="M522" s="5">
        <f t="shared" si="42"/>
        <v>31.872888888888891</v>
      </c>
      <c r="N522" s="5">
        <v>1.728</v>
      </c>
      <c r="O522" s="5">
        <f t="shared" si="45"/>
        <v>780</v>
      </c>
      <c r="P522" s="5">
        <f t="shared" si="46"/>
        <v>90</v>
      </c>
      <c r="R522" s="5">
        <v>17.100000000000001</v>
      </c>
      <c r="S522" s="5">
        <v>33.620000000000005</v>
      </c>
      <c r="T522" s="5">
        <v>35.374000000000002</v>
      </c>
      <c r="U522" s="2">
        <v>0.41289999999999999</v>
      </c>
      <c r="V522" s="5">
        <v>78</v>
      </c>
      <c r="W522" s="5">
        <v>78</v>
      </c>
      <c r="AA522" s="2"/>
      <c r="AJ522" s="4"/>
      <c r="AR522" s="4"/>
    </row>
    <row r="523" spans="4:44">
      <c r="D523" s="5">
        <v>-12.45</v>
      </c>
      <c r="E523" s="5">
        <v>112.8725</v>
      </c>
      <c r="F523" s="5">
        <v>27.998999999999999</v>
      </c>
      <c r="G523" s="2">
        <v>4.6142500000000002</v>
      </c>
      <c r="H523" s="5">
        <f t="shared" si="43"/>
        <v>87.85128125</v>
      </c>
      <c r="I523" s="5">
        <f t="shared" si="44"/>
        <v>87.85128125</v>
      </c>
      <c r="K523" s="5">
        <v>4.6749999999999998</v>
      </c>
      <c r="L523" s="5">
        <v>40.512499999999996</v>
      </c>
      <c r="M523" s="5">
        <f t="shared" si="42"/>
        <v>31.872888888888891</v>
      </c>
      <c r="N523" s="5">
        <v>1.7375</v>
      </c>
      <c r="O523" s="5">
        <f t="shared" si="45"/>
        <v>780</v>
      </c>
      <c r="P523" s="5">
        <f t="shared" si="46"/>
        <v>90</v>
      </c>
      <c r="R523" s="5">
        <v>17.5</v>
      </c>
      <c r="S523" s="5">
        <v>33.4</v>
      </c>
      <c r="T523" s="5">
        <v>35.374000000000002</v>
      </c>
      <c r="U523" s="2">
        <v>0.41249999999999998</v>
      </c>
      <c r="V523" s="5">
        <v>78</v>
      </c>
      <c r="W523" s="5">
        <v>78</v>
      </c>
      <c r="AA523" s="2"/>
      <c r="AJ523" s="4"/>
      <c r="AR523" s="4"/>
    </row>
    <row r="524" spans="4:44">
      <c r="D524" s="5">
        <v>-12.1</v>
      </c>
      <c r="E524" s="5">
        <v>109.55500000000001</v>
      </c>
      <c r="F524" s="5">
        <v>27.998999999999999</v>
      </c>
      <c r="G524" s="2">
        <v>4.5374999999999996</v>
      </c>
      <c r="H524" s="5">
        <f t="shared" si="43"/>
        <v>87.577624999999998</v>
      </c>
      <c r="I524" s="5">
        <f t="shared" si="44"/>
        <v>87.577624999999998</v>
      </c>
      <c r="K524" s="5">
        <v>4.6500000000000004</v>
      </c>
      <c r="L524" s="5">
        <v>40.924999999999997</v>
      </c>
      <c r="M524" s="5">
        <f t="shared" si="42"/>
        <v>31.872888888888891</v>
      </c>
      <c r="N524" s="5">
        <v>1.7470000000000001</v>
      </c>
      <c r="O524" s="5">
        <f t="shared" si="45"/>
        <v>780</v>
      </c>
      <c r="P524" s="5">
        <f t="shared" si="46"/>
        <v>90</v>
      </c>
      <c r="R524" s="5">
        <v>17.899999999999999</v>
      </c>
      <c r="S524" s="5">
        <v>33.18</v>
      </c>
      <c r="T524" s="5">
        <v>35.374000000000002</v>
      </c>
      <c r="U524" s="2">
        <v>0.41210000000000002</v>
      </c>
      <c r="V524" s="5">
        <v>78</v>
      </c>
      <c r="W524" s="5">
        <v>78</v>
      </c>
      <c r="AA524" s="2"/>
      <c r="AJ524" s="4"/>
      <c r="AR524" s="4"/>
    </row>
    <row r="525" spans="4:44">
      <c r="D525" s="5">
        <v>-11.75</v>
      </c>
      <c r="E525" s="5">
        <v>106.2375</v>
      </c>
      <c r="F525" s="5">
        <v>27.998999999999999</v>
      </c>
      <c r="G525" s="2">
        <v>4.46075</v>
      </c>
      <c r="H525" s="5">
        <f t="shared" si="43"/>
        <v>87.307031249999994</v>
      </c>
      <c r="I525" s="5">
        <f t="shared" si="44"/>
        <v>87.307031249999994</v>
      </c>
      <c r="K525" s="5">
        <v>4.625</v>
      </c>
      <c r="L525" s="5">
        <v>41.337499999999999</v>
      </c>
      <c r="M525" s="5">
        <f t="shared" si="42"/>
        <v>31.872888888888891</v>
      </c>
      <c r="N525" s="5">
        <v>1.7565</v>
      </c>
      <c r="O525" s="5">
        <f t="shared" si="45"/>
        <v>780</v>
      </c>
      <c r="P525" s="5">
        <f t="shared" si="46"/>
        <v>90</v>
      </c>
      <c r="R525" s="5">
        <v>18.3</v>
      </c>
      <c r="S525" s="5">
        <v>32.96</v>
      </c>
      <c r="T525" s="5">
        <v>35.374000000000002</v>
      </c>
      <c r="U525" s="2">
        <v>0.41170000000000001</v>
      </c>
      <c r="V525" s="5">
        <v>78</v>
      </c>
      <c r="W525" s="5">
        <v>78</v>
      </c>
      <c r="AA525" s="2"/>
      <c r="AJ525" s="4"/>
      <c r="AR525" s="4"/>
    </row>
    <row r="526" spans="4:44">
      <c r="D526" s="5">
        <v>-11.4</v>
      </c>
      <c r="E526" s="5">
        <v>102.92</v>
      </c>
      <c r="F526" s="5">
        <v>27.998999999999999</v>
      </c>
      <c r="G526" s="2">
        <v>4.3840000000000003</v>
      </c>
      <c r="H526" s="5">
        <f t="shared" si="43"/>
        <v>87.039500000000004</v>
      </c>
      <c r="I526" s="5">
        <f t="shared" si="44"/>
        <v>87.039500000000004</v>
      </c>
      <c r="K526" s="5">
        <v>4.5999999999999996</v>
      </c>
      <c r="L526" s="5">
        <v>41.75</v>
      </c>
      <c r="M526" s="5">
        <f t="shared" si="42"/>
        <v>31.872888888888891</v>
      </c>
      <c r="N526" s="5">
        <v>1.766</v>
      </c>
      <c r="O526" s="5">
        <f t="shared" si="45"/>
        <v>780</v>
      </c>
      <c r="P526" s="5">
        <f t="shared" si="46"/>
        <v>90</v>
      </c>
      <c r="R526" s="5">
        <v>18.7</v>
      </c>
      <c r="S526" s="5">
        <v>32.74</v>
      </c>
      <c r="T526" s="5">
        <v>35.374000000000002</v>
      </c>
      <c r="U526" s="2">
        <v>0.4113</v>
      </c>
      <c r="V526" s="5">
        <v>78</v>
      </c>
      <c r="W526" s="5">
        <v>78</v>
      </c>
      <c r="AA526" s="2"/>
      <c r="AJ526" s="4"/>
      <c r="AR526" s="4"/>
    </row>
    <row r="527" spans="4:44">
      <c r="D527" s="5">
        <v>-11.125</v>
      </c>
      <c r="E527" s="5">
        <v>101.14000000000001</v>
      </c>
      <c r="F527" s="5">
        <v>27.998999999999999</v>
      </c>
      <c r="G527" s="2">
        <v>4.3319999999999999</v>
      </c>
      <c r="H527" s="5">
        <f t="shared" si="43"/>
        <v>86.831445312499994</v>
      </c>
      <c r="I527" s="5">
        <f t="shared" si="44"/>
        <v>86.831445312499994</v>
      </c>
      <c r="K527" s="5">
        <v>4.5999999999999996</v>
      </c>
      <c r="L527" s="5">
        <v>41.215000000000003</v>
      </c>
      <c r="M527" s="5">
        <f t="shared" si="42"/>
        <v>31.872888888888891</v>
      </c>
      <c r="N527" s="5">
        <v>1.7622500000000001</v>
      </c>
      <c r="O527" s="5">
        <f t="shared" si="45"/>
        <v>780</v>
      </c>
      <c r="P527" s="5">
        <f t="shared" si="46"/>
        <v>90</v>
      </c>
      <c r="R527" s="5">
        <v>18.774999999999999</v>
      </c>
      <c r="S527" s="5">
        <v>30.764999999999997</v>
      </c>
      <c r="T527" s="5">
        <v>35.374000000000002</v>
      </c>
      <c r="U527" s="2">
        <v>0.4365</v>
      </c>
      <c r="V527" s="5">
        <v>78</v>
      </c>
      <c r="W527" s="5">
        <v>78</v>
      </c>
      <c r="AA527" s="2"/>
      <c r="AJ527" s="4"/>
      <c r="AR527" s="4"/>
    </row>
    <row r="528" spans="4:44">
      <c r="D528" s="5">
        <v>-10.85</v>
      </c>
      <c r="E528" s="5">
        <v>99.36</v>
      </c>
      <c r="F528" s="5">
        <v>27.998999999999999</v>
      </c>
      <c r="G528" s="2">
        <v>4.28</v>
      </c>
      <c r="H528" s="5">
        <f t="shared" si="43"/>
        <v>86.62528125</v>
      </c>
      <c r="I528" s="5">
        <f t="shared" si="44"/>
        <v>86.62528125</v>
      </c>
      <c r="K528" s="5">
        <v>4.5999999999999996</v>
      </c>
      <c r="L528" s="5">
        <v>40.679999999999993</v>
      </c>
      <c r="M528" s="5">
        <f t="shared" si="42"/>
        <v>31.872888888888891</v>
      </c>
      <c r="N528" s="5">
        <v>1.7585</v>
      </c>
      <c r="O528" s="5">
        <f t="shared" si="45"/>
        <v>780</v>
      </c>
      <c r="P528" s="5">
        <f t="shared" si="46"/>
        <v>90</v>
      </c>
      <c r="R528" s="5">
        <v>18.850000000000001</v>
      </c>
      <c r="S528" s="5">
        <v>28.79</v>
      </c>
      <c r="T528" s="5">
        <v>35.374000000000002</v>
      </c>
      <c r="U528" s="2">
        <v>0.47199999999999998</v>
      </c>
      <c r="V528" s="5">
        <v>78</v>
      </c>
      <c r="W528" s="5">
        <v>78</v>
      </c>
      <c r="AA528" s="2"/>
      <c r="AJ528" s="4"/>
      <c r="AR528" s="4"/>
    </row>
    <row r="529" spans="4:44">
      <c r="D529" s="5">
        <v>-10.574999999999999</v>
      </c>
      <c r="E529" s="5">
        <v>97.579999999999984</v>
      </c>
      <c r="F529" s="5">
        <v>27.998999999999999</v>
      </c>
      <c r="G529" s="2">
        <v>4.2279999999999998</v>
      </c>
      <c r="H529" s="5">
        <f t="shared" si="43"/>
        <v>86.421007812499994</v>
      </c>
      <c r="I529" s="5">
        <f t="shared" si="44"/>
        <v>86.421007812499994</v>
      </c>
      <c r="K529" s="5">
        <v>4.5999999999999996</v>
      </c>
      <c r="L529" s="5">
        <v>40.144999999999996</v>
      </c>
      <c r="M529" s="5">
        <f t="shared" si="42"/>
        <v>31.872888888888891</v>
      </c>
      <c r="N529" s="5">
        <v>1.75475</v>
      </c>
      <c r="O529" s="5">
        <f t="shared" si="45"/>
        <v>780</v>
      </c>
      <c r="P529" s="5">
        <f t="shared" si="46"/>
        <v>90</v>
      </c>
      <c r="R529" s="5">
        <v>18.925000000000001</v>
      </c>
      <c r="S529" s="5">
        <v>26.815000000000001</v>
      </c>
      <c r="T529" s="5">
        <v>35.374000000000002</v>
      </c>
      <c r="U529" s="2">
        <v>0.50750000000000006</v>
      </c>
      <c r="V529" s="5">
        <v>78</v>
      </c>
      <c r="W529" s="5">
        <v>78</v>
      </c>
      <c r="AA529" s="2"/>
      <c r="AJ529" s="4"/>
      <c r="AR529" s="4"/>
    </row>
    <row r="530" spans="4:44">
      <c r="D530" s="5">
        <v>-10.3</v>
      </c>
      <c r="E530" s="5">
        <v>95.8</v>
      </c>
      <c r="F530" s="5">
        <v>27.998999999999999</v>
      </c>
      <c r="G530" s="2">
        <v>4.1760000000000002</v>
      </c>
      <c r="H530" s="5">
        <f t="shared" si="43"/>
        <v>86.218625000000003</v>
      </c>
      <c r="I530" s="5">
        <f t="shared" si="44"/>
        <v>86.218625000000003</v>
      </c>
      <c r="K530" s="5">
        <v>4.5999999999999996</v>
      </c>
      <c r="L530" s="5">
        <v>39.61</v>
      </c>
      <c r="M530" s="5">
        <f t="shared" si="42"/>
        <v>31.872888888888891</v>
      </c>
      <c r="N530" s="5">
        <v>1.7510000000000001</v>
      </c>
      <c r="O530" s="5">
        <f t="shared" si="45"/>
        <v>780</v>
      </c>
      <c r="P530" s="5">
        <f t="shared" si="46"/>
        <v>90</v>
      </c>
      <c r="R530" s="5">
        <v>19</v>
      </c>
      <c r="S530" s="5">
        <v>24.84</v>
      </c>
      <c r="T530" s="5">
        <v>35.374000000000002</v>
      </c>
      <c r="U530" s="2">
        <v>0.54299999999999993</v>
      </c>
      <c r="V530" s="5">
        <v>78</v>
      </c>
      <c r="W530" s="5">
        <v>78</v>
      </c>
      <c r="AA530" s="2"/>
      <c r="AJ530" s="4"/>
      <c r="AR530" s="4"/>
    </row>
    <row r="531" spans="4:44">
      <c r="D531" s="5">
        <v>-10.1</v>
      </c>
      <c r="E531" s="5">
        <v>92.577500000000001</v>
      </c>
      <c r="F531" s="5">
        <v>27.998999999999999</v>
      </c>
      <c r="G531" s="2">
        <v>4.1315</v>
      </c>
      <c r="H531" s="5">
        <f t="shared" si="43"/>
        <v>86.072625000000002</v>
      </c>
      <c r="I531" s="5">
        <f t="shared" si="44"/>
        <v>86.072625000000002</v>
      </c>
      <c r="K531" s="5">
        <v>4.8249999999999993</v>
      </c>
      <c r="L531" s="5">
        <v>38.797499999999999</v>
      </c>
      <c r="M531" s="5">
        <f t="shared" si="42"/>
        <v>31.872888888888891</v>
      </c>
      <c r="N531" s="5">
        <v>1.7282500000000001</v>
      </c>
      <c r="O531" s="5">
        <f t="shared" si="45"/>
        <v>780</v>
      </c>
      <c r="P531" s="5">
        <f t="shared" si="46"/>
        <v>90</v>
      </c>
      <c r="R531" s="5">
        <v>19.324999999999999</v>
      </c>
      <c r="S531" s="5">
        <v>23.55</v>
      </c>
      <c r="T531" s="5">
        <v>35.374000000000002</v>
      </c>
      <c r="U531" s="2">
        <v>0.53499999999999992</v>
      </c>
      <c r="V531" s="5">
        <v>78</v>
      </c>
      <c r="W531" s="5">
        <v>78</v>
      </c>
      <c r="AA531" s="2"/>
      <c r="AJ531" s="4"/>
      <c r="AR531" s="4"/>
    </row>
    <row r="532" spans="4:44">
      <c r="D532" s="5">
        <v>-9.9</v>
      </c>
      <c r="E532" s="5">
        <v>89.355000000000018</v>
      </c>
      <c r="F532" s="5">
        <v>27.998999999999999</v>
      </c>
      <c r="G532" s="2">
        <v>4.0869999999999997</v>
      </c>
      <c r="H532" s="5">
        <f t="shared" si="43"/>
        <v>85.927625000000006</v>
      </c>
      <c r="I532" s="5">
        <f t="shared" si="44"/>
        <v>85.927625000000006</v>
      </c>
      <c r="K532" s="5">
        <v>5.05</v>
      </c>
      <c r="L532" s="5">
        <v>37.984999999999999</v>
      </c>
      <c r="M532" s="5">
        <f t="shared" si="42"/>
        <v>31.872888888888891</v>
      </c>
      <c r="N532" s="5">
        <v>1.7055</v>
      </c>
      <c r="O532" s="5">
        <f t="shared" si="45"/>
        <v>780</v>
      </c>
      <c r="P532" s="5">
        <f t="shared" si="46"/>
        <v>90</v>
      </c>
      <c r="R532" s="5">
        <v>19.649999999999999</v>
      </c>
      <c r="S532" s="5">
        <v>22.259999999999998</v>
      </c>
      <c r="T532" s="5">
        <v>35.374000000000002</v>
      </c>
      <c r="U532" s="2">
        <v>0.52700000000000002</v>
      </c>
      <c r="V532" s="5">
        <v>78</v>
      </c>
      <c r="W532" s="5">
        <v>78</v>
      </c>
      <c r="AA532" s="2"/>
      <c r="AJ532" s="4"/>
      <c r="AR532" s="4"/>
    </row>
    <row r="533" spans="4:44">
      <c r="D533" s="5">
        <v>-9.6999999999999993</v>
      </c>
      <c r="E533" s="5">
        <v>86.132500000000007</v>
      </c>
      <c r="F533" s="5">
        <v>27.998999999999999</v>
      </c>
      <c r="G533" s="2">
        <v>4.0424999999999995</v>
      </c>
      <c r="H533" s="5">
        <f t="shared" si="43"/>
        <v>85.783625000000001</v>
      </c>
      <c r="I533" s="5">
        <f t="shared" si="44"/>
        <v>85.783625000000001</v>
      </c>
      <c r="K533" s="5">
        <v>5.2750000000000004</v>
      </c>
      <c r="L533" s="5">
        <v>37.172499999999999</v>
      </c>
      <c r="M533" s="5">
        <f t="shared" si="42"/>
        <v>31.872888888888891</v>
      </c>
      <c r="N533" s="5">
        <v>1.6827500000000002</v>
      </c>
      <c r="O533" s="5">
        <f t="shared" si="45"/>
        <v>780</v>
      </c>
      <c r="P533" s="5">
        <f t="shared" si="46"/>
        <v>90</v>
      </c>
      <c r="R533" s="5">
        <v>19.975000000000001</v>
      </c>
      <c r="S533" s="5">
        <v>20.97</v>
      </c>
      <c r="T533" s="5">
        <v>35.374000000000002</v>
      </c>
      <c r="U533" s="2">
        <v>0.51900000000000002</v>
      </c>
      <c r="V533" s="5">
        <v>78</v>
      </c>
      <c r="W533" s="5">
        <v>78</v>
      </c>
      <c r="AA533" s="2"/>
      <c r="AJ533" s="4"/>
      <c r="AR533" s="4"/>
    </row>
    <row r="534" spans="4:44">
      <c r="D534" s="5">
        <v>-9.5</v>
      </c>
      <c r="E534" s="5">
        <v>82.91</v>
      </c>
      <c r="F534" s="5">
        <v>27.998999999999999</v>
      </c>
      <c r="G534" s="2">
        <v>3.9980000000000002</v>
      </c>
      <c r="H534" s="5">
        <f t="shared" si="43"/>
        <v>85.640625</v>
      </c>
      <c r="I534" s="5">
        <f t="shared" si="44"/>
        <v>85.640625</v>
      </c>
      <c r="K534" s="5">
        <v>5.5</v>
      </c>
      <c r="L534" s="5">
        <v>36.36</v>
      </c>
      <c r="M534" s="5">
        <f t="shared" si="42"/>
        <v>31.872888888888891</v>
      </c>
      <c r="N534" s="5">
        <v>1.6600000000000001</v>
      </c>
      <c r="O534" s="5">
        <f t="shared" si="45"/>
        <v>780</v>
      </c>
      <c r="P534" s="5">
        <f t="shared" si="46"/>
        <v>90</v>
      </c>
      <c r="R534" s="5">
        <v>20.3</v>
      </c>
      <c r="S534" s="5">
        <v>19.68</v>
      </c>
      <c r="T534" s="5">
        <v>35.374000000000002</v>
      </c>
      <c r="U534" s="2">
        <v>0.51100000000000001</v>
      </c>
      <c r="V534" s="5">
        <v>78</v>
      </c>
      <c r="W534" s="5">
        <v>78</v>
      </c>
      <c r="AA534" s="2"/>
      <c r="AJ534" s="4"/>
      <c r="AR534" s="4"/>
    </row>
    <row r="535" spans="4:44">
      <c r="D535" s="5">
        <v>-9.35</v>
      </c>
      <c r="E535" s="5">
        <v>82.372500000000002</v>
      </c>
      <c r="F535" s="5">
        <v>27.998999999999999</v>
      </c>
      <c r="G535" s="2">
        <v>4.0309999999999997</v>
      </c>
      <c r="H535" s="5">
        <f t="shared" si="43"/>
        <v>85.534031249999998</v>
      </c>
      <c r="I535" s="5">
        <f t="shared" si="44"/>
        <v>85.534031249999998</v>
      </c>
      <c r="K535" s="5">
        <v>5.6749999999999998</v>
      </c>
      <c r="L535" s="5">
        <v>35.702500000000001</v>
      </c>
      <c r="M535" s="5">
        <f t="shared" si="42"/>
        <v>31.872888888888891</v>
      </c>
      <c r="N535" s="5">
        <v>1.6245000000000001</v>
      </c>
      <c r="O535" s="5">
        <f t="shared" si="45"/>
        <v>780</v>
      </c>
      <c r="P535" s="5">
        <f t="shared" si="46"/>
        <v>90</v>
      </c>
      <c r="R535" s="5">
        <v>20.45</v>
      </c>
      <c r="S535" s="5">
        <v>17.86</v>
      </c>
      <c r="T535" s="5">
        <v>35.374000000000002</v>
      </c>
      <c r="U535" s="2">
        <v>0.51275000000000004</v>
      </c>
      <c r="V535" s="5">
        <v>78</v>
      </c>
      <c r="W535" s="5">
        <v>78</v>
      </c>
      <c r="AA535" s="2"/>
      <c r="AJ535" s="4"/>
      <c r="AR535" s="4"/>
    </row>
    <row r="536" spans="4:44">
      <c r="D536" s="5">
        <v>-9.1999999999999993</v>
      </c>
      <c r="E536" s="5">
        <v>81.835000000000008</v>
      </c>
      <c r="F536" s="5">
        <v>27.998999999999999</v>
      </c>
      <c r="G536" s="2">
        <v>4.0640000000000001</v>
      </c>
      <c r="H536" s="5">
        <f t="shared" si="43"/>
        <v>85.427999999999997</v>
      </c>
      <c r="I536" s="5">
        <f t="shared" si="44"/>
        <v>85.427999999999997</v>
      </c>
      <c r="K536" s="5">
        <v>5.85</v>
      </c>
      <c r="L536" s="5">
        <v>35.045000000000002</v>
      </c>
      <c r="M536" s="5">
        <f t="shared" si="42"/>
        <v>31.872888888888891</v>
      </c>
      <c r="N536" s="5">
        <v>1.5890000000000002</v>
      </c>
      <c r="O536" s="5">
        <f t="shared" si="45"/>
        <v>780</v>
      </c>
      <c r="P536" s="5">
        <f t="shared" si="46"/>
        <v>90</v>
      </c>
      <c r="R536" s="5">
        <v>20.6</v>
      </c>
      <c r="S536" s="5">
        <v>16.04</v>
      </c>
      <c r="T536" s="5">
        <v>35.374000000000002</v>
      </c>
      <c r="U536" s="2">
        <v>0.51449999999999996</v>
      </c>
      <c r="V536" s="5">
        <v>78</v>
      </c>
      <c r="W536" s="5">
        <v>78</v>
      </c>
      <c r="AA536" s="2"/>
      <c r="AJ536" s="4"/>
      <c r="AR536" s="4"/>
    </row>
    <row r="537" spans="4:44">
      <c r="D537" s="5">
        <v>-9.0500000000000007</v>
      </c>
      <c r="E537" s="5">
        <v>81.297500000000014</v>
      </c>
      <c r="F537" s="5">
        <v>27.998999999999999</v>
      </c>
      <c r="G537" s="2">
        <v>4.0970000000000004</v>
      </c>
      <c r="H537" s="5">
        <f t="shared" si="43"/>
        <v>85.322531249999997</v>
      </c>
      <c r="I537" s="5">
        <f t="shared" si="44"/>
        <v>85.322531249999997</v>
      </c>
      <c r="K537" s="5">
        <v>6.0250000000000004</v>
      </c>
      <c r="L537" s="5">
        <v>34.387500000000003</v>
      </c>
      <c r="M537" s="5">
        <f t="shared" si="42"/>
        <v>31.872888888888891</v>
      </c>
      <c r="N537" s="5">
        <v>1.5535000000000001</v>
      </c>
      <c r="O537" s="5">
        <f t="shared" si="45"/>
        <v>780</v>
      </c>
      <c r="P537" s="5">
        <f t="shared" si="46"/>
        <v>90</v>
      </c>
      <c r="R537" s="5">
        <v>20.75</v>
      </c>
      <c r="S537" s="5">
        <v>14.219999999999999</v>
      </c>
      <c r="T537" s="5">
        <v>35.374000000000002</v>
      </c>
      <c r="U537" s="2">
        <v>0.51624999999999999</v>
      </c>
      <c r="V537" s="5">
        <v>78</v>
      </c>
      <c r="W537" s="5">
        <v>78</v>
      </c>
      <c r="AA537" s="2"/>
      <c r="AJ537" s="4"/>
      <c r="AR537" s="4"/>
    </row>
    <row r="538" spans="4:44">
      <c r="D538" s="5">
        <v>-8.9</v>
      </c>
      <c r="E538" s="5">
        <v>80.760000000000005</v>
      </c>
      <c r="F538" s="5">
        <v>27.998999999999999</v>
      </c>
      <c r="G538" s="2">
        <v>4.13</v>
      </c>
      <c r="H538" s="5">
        <f t="shared" si="43"/>
        <v>85.217624999999998</v>
      </c>
      <c r="I538" s="5">
        <f t="shared" si="44"/>
        <v>85.217624999999998</v>
      </c>
      <c r="K538" s="5">
        <v>6.2</v>
      </c>
      <c r="L538" s="5">
        <v>33.730000000000004</v>
      </c>
      <c r="M538" s="5">
        <f t="shared" si="42"/>
        <v>31.872888888888891</v>
      </c>
      <c r="N538" s="5">
        <v>1.518</v>
      </c>
      <c r="O538" s="5">
        <f t="shared" si="45"/>
        <v>780</v>
      </c>
      <c r="P538" s="5">
        <f t="shared" si="46"/>
        <v>90</v>
      </c>
      <c r="R538" s="5">
        <v>20.9</v>
      </c>
      <c r="S538" s="5">
        <v>12.4</v>
      </c>
      <c r="T538" s="5">
        <v>35.374000000000002</v>
      </c>
      <c r="U538" s="2">
        <v>0.51800000000000002</v>
      </c>
      <c r="V538" s="5">
        <v>78</v>
      </c>
      <c r="W538" s="5">
        <v>78</v>
      </c>
      <c r="AA538" s="2"/>
      <c r="AJ538" s="4"/>
      <c r="AR538" s="4"/>
    </row>
    <row r="539" spans="4:44">
      <c r="D539" s="5">
        <v>-8.7249999999999996</v>
      </c>
      <c r="E539" s="5">
        <v>80.720000000000013</v>
      </c>
      <c r="F539" s="5">
        <v>27.998999999999999</v>
      </c>
      <c r="G539" s="2">
        <v>4.1007499999999997</v>
      </c>
      <c r="H539" s="5">
        <f t="shared" si="43"/>
        <v>85.095945312499992</v>
      </c>
      <c r="I539" s="5">
        <f t="shared" si="44"/>
        <v>85.095945312499992</v>
      </c>
      <c r="K539" s="5">
        <v>6.5250000000000004</v>
      </c>
      <c r="L539" s="5">
        <v>33.035000000000004</v>
      </c>
      <c r="M539" s="5">
        <f t="shared" si="42"/>
        <v>31.872888888888891</v>
      </c>
      <c r="N539" s="5">
        <v>1.52725</v>
      </c>
      <c r="O539" s="5">
        <f t="shared" si="45"/>
        <v>780</v>
      </c>
      <c r="P539" s="5">
        <f t="shared" si="46"/>
        <v>90</v>
      </c>
      <c r="R539" s="5">
        <v>21.2</v>
      </c>
      <c r="S539" s="5">
        <v>15</v>
      </c>
      <c r="T539" s="5">
        <v>35.374000000000002</v>
      </c>
      <c r="U539" s="2">
        <v>0.50950000000000006</v>
      </c>
      <c r="V539" s="5">
        <v>78</v>
      </c>
      <c r="W539" s="5">
        <v>78</v>
      </c>
      <c r="AA539" s="2"/>
      <c r="AJ539" s="4"/>
      <c r="AR539" s="4"/>
    </row>
    <row r="540" spans="4:44">
      <c r="D540" s="5">
        <v>-8.5500000000000007</v>
      </c>
      <c r="E540" s="5">
        <v>80.680000000000007</v>
      </c>
      <c r="F540" s="5">
        <v>27.998999999999999</v>
      </c>
      <c r="G540" s="2">
        <v>4.0715000000000003</v>
      </c>
      <c r="H540" s="5">
        <f t="shared" si="43"/>
        <v>84.975031250000001</v>
      </c>
      <c r="I540" s="5">
        <f t="shared" si="44"/>
        <v>84.975031250000001</v>
      </c>
      <c r="K540" s="5">
        <v>6.85</v>
      </c>
      <c r="L540" s="5">
        <v>32.340000000000003</v>
      </c>
      <c r="M540" s="5">
        <f t="shared" si="42"/>
        <v>31.872888888888891</v>
      </c>
      <c r="N540" s="5">
        <v>1.5365</v>
      </c>
      <c r="O540" s="5">
        <f t="shared" si="45"/>
        <v>780</v>
      </c>
      <c r="P540" s="5">
        <f t="shared" si="46"/>
        <v>90</v>
      </c>
      <c r="R540" s="5">
        <v>21.5</v>
      </c>
      <c r="S540" s="5">
        <v>17.600000000000001</v>
      </c>
      <c r="T540" s="5">
        <v>35.374000000000002</v>
      </c>
      <c r="U540" s="2">
        <v>0.501</v>
      </c>
      <c r="V540" s="5">
        <v>78</v>
      </c>
      <c r="W540" s="5">
        <v>78</v>
      </c>
      <c r="AA540" s="2"/>
      <c r="AJ540" s="4"/>
      <c r="AR540" s="4"/>
    </row>
    <row r="541" spans="4:44">
      <c r="D541" s="5">
        <v>-8.375</v>
      </c>
      <c r="E541" s="5">
        <v>80.64</v>
      </c>
      <c r="F541" s="5">
        <v>27.998999999999999</v>
      </c>
      <c r="G541" s="2">
        <v>4.0422500000000001</v>
      </c>
      <c r="H541" s="5">
        <f t="shared" si="43"/>
        <v>84.854882812499994</v>
      </c>
      <c r="I541" s="5">
        <f t="shared" si="44"/>
        <v>84.854882812499994</v>
      </c>
      <c r="K541" s="5">
        <v>7.1749999999999998</v>
      </c>
      <c r="L541" s="5">
        <v>31.645</v>
      </c>
      <c r="M541" s="5">
        <f t="shared" si="42"/>
        <v>31.872888888888891</v>
      </c>
      <c r="N541" s="5">
        <v>1.5457500000000002</v>
      </c>
      <c r="O541" s="5">
        <f t="shared" si="45"/>
        <v>780</v>
      </c>
      <c r="P541" s="5">
        <f t="shared" si="46"/>
        <v>90</v>
      </c>
      <c r="R541" s="5">
        <v>21.8</v>
      </c>
      <c r="S541" s="5">
        <v>20.2</v>
      </c>
      <c r="T541" s="5">
        <v>35.374000000000002</v>
      </c>
      <c r="U541" s="2">
        <v>0.49249999999999999</v>
      </c>
      <c r="V541" s="5">
        <v>78</v>
      </c>
      <c r="W541" s="5">
        <v>78</v>
      </c>
      <c r="AA541" s="2"/>
      <c r="AJ541" s="4"/>
      <c r="AR541" s="4"/>
    </row>
    <row r="542" spans="4:44">
      <c r="D542" s="5">
        <v>-8.1999999999999993</v>
      </c>
      <c r="E542" s="5">
        <v>80.600000000000009</v>
      </c>
      <c r="F542" s="5">
        <v>27.998999999999999</v>
      </c>
      <c r="G542" s="2">
        <v>4.0129999999999999</v>
      </c>
      <c r="H542" s="5">
        <f t="shared" si="43"/>
        <v>84.735500000000002</v>
      </c>
      <c r="I542" s="5">
        <f t="shared" si="44"/>
        <v>84.735500000000002</v>
      </c>
      <c r="K542" s="5">
        <v>7.5</v>
      </c>
      <c r="L542" s="5">
        <v>30.950000000000003</v>
      </c>
      <c r="M542" s="5">
        <f t="shared" si="42"/>
        <v>31.872888888888891</v>
      </c>
      <c r="N542" s="5">
        <v>1.5550000000000002</v>
      </c>
      <c r="O542" s="5">
        <f t="shared" si="45"/>
        <v>780</v>
      </c>
      <c r="P542" s="5">
        <f t="shared" si="46"/>
        <v>90</v>
      </c>
      <c r="R542" s="5">
        <v>22.1</v>
      </c>
      <c r="S542" s="5">
        <v>22.799999999999997</v>
      </c>
      <c r="T542" s="5">
        <v>35.374000000000002</v>
      </c>
      <c r="U542" s="2">
        <v>0.48399999999999999</v>
      </c>
      <c r="V542" s="5">
        <v>78</v>
      </c>
      <c r="W542" s="5">
        <v>78</v>
      </c>
      <c r="AA542" s="2"/>
      <c r="AJ542" s="4"/>
      <c r="AR542" s="4"/>
    </row>
    <row r="543" spans="4:44">
      <c r="D543" s="5">
        <v>-8.1999999999999993</v>
      </c>
      <c r="E543" s="5">
        <v>80.45</v>
      </c>
      <c r="F543" s="5">
        <v>27.998999999999999</v>
      </c>
      <c r="G543" s="2">
        <v>4.0062499999999996</v>
      </c>
      <c r="H543" s="5">
        <f t="shared" si="43"/>
        <v>84.735500000000002</v>
      </c>
      <c r="I543" s="5">
        <f t="shared" si="44"/>
        <v>84.735500000000002</v>
      </c>
      <c r="K543" s="5">
        <v>7.6749999999999998</v>
      </c>
      <c r="L543" s="5">
        <v>34.06</v>
      </c>
      <c r="M543" s="5">
        <f t="shared" si="42"/>
        <v>31.872888888888891</v>
      </c>
      <c r="N543" s="5">
        <v>1.5192500000000002</v>
      </c>
      <c r="O543" s="5">
        <f t="shared" si="45"/>
        <v>780</v>
      </c>
      <c r="P543" s="5">
        <f t="shared" si="46"/>
        <v>90</v>
      </c>
      <c r="R543" s="5">
        <v>21.8</v>
      </c>
      <c r="S543" s="5">
        <v>23.555</v>
      </c>
      <c r="T543" s="5">
        <v>35.374000000000002</v>
      </c>
      <c r="U543" s="2">
        <v>0.51875000000000004</v>
      </c>
      <c r="V543" s="5">
        <v>78</v>
      </c>
      <c r="W543" s="5">
        <v>78</v>
      </c>
      <c r="AA543" s="2"/>
      <c r="AJ543" s="4"/>
      <c r="AR543" s="4"/>
    </row>
    <row r="544" spans="4:44">
      <c r="D544" s="5">
        <v>-8.1999999999999993</v>
      </c>
      <c r="E544" s="5">
        <v>80.300000000000011</v>
      </c>
      <c r="F544" s="5">
        <v>27.998999999999999</v>
      </c>
      <c r="G544" s="2">
        <v>3.9995000000000003</v>
      </c>
      <c r="H544" s="5">
        <f t="shared" si="43"/>
        <v>84.735500000000002</v>
      </c>
      <c r="I544" s="5">
        <f t="shared" si="44"/>
        <v>84.735500000000002</v>
      </c>
      <c r="K544" s="5">
        <v>7.85</v>
      </c>
      <c r="L544" s="5">
        <v>37.170000000000009</v>
      </c>
      <c r="M544" s="5">
        <f t="shared" si="42"/>
        <v>31.872888888888891</v>
      </c>
      <c r="N544" s="5">
        <v>1.4835</v>
      </c>
      <c r="O544" s="5">
        <f t="shared" si="45"/>
        <v>780</v>
      </c>
      <c r="P544" s="5">
        <f t="shared" si="46"/>
        <v>90</v>
      </c>
      <c r="R544" s="5">
        <v>21.5</v>
      </c>
      <c r="S544" s="5">
        <v>24.310000000000002</v>
      </c>
      <c r="T544" s="5">
        <v>35.374000000000002</v>
      </c>
      <c r="U544" s="2">
        <v>0.55349999999999999</v>
      </c>
      <c r="V544" s="5">
        <v>78</v>
      </c>
      <c r="W544" s="5">
        <v>78</v>
      </c>
      <c r="AA544" s="2"/>
      <c r="AJ544" s="4"/>
      <c r="AR544" s="4"/>
    </row>
    <row r="545" spans="4:44">
      <c r="D545" s="5">
        <v>-8.1999999999999993</v>
      </c>
      <c r="E545" s="5">
        <v>80.150000000000006</v>
      </c>
      <c r="F545" s="5">
        <v>27.998999999999999</v>
      </c>
      <c r="G545" s="2">
        <v>3.9927500000000005</v>
      </c>
      <c r="H545" s="5">
        <f t="shared" si="43"/>
        <v>84.735500000000002</v>
      </c>
      <c r="I545" s="5">
        <f t="shared" si="44"/>
        <v>84.735500000000002</v>
      </c>
      <c r="K545" s="5">
        <v>8.0249999999999986</v>
      </c>
      <c r="L545" s="5">
        <v>40.279999999999994</v>
      </c>
      <c r="M545" s="5">
        <f t="shared" si="42"/>
        <v>31.872888888888891</v>
      </c>
      <c r="N545" s="5">
        <v>1.4477500000000001</v>
      </c>
      <c r="O545" s="5">
        <f t="shared" si="45"/>
        <v>780</v>
      </c>
      <c r="P545" s="5">
        <f t="shared" si="46"/>
        <v>90</v>
      </c>
      <c r="R545" s="5">
        <v>21.2</v>
      </c>
      <c r="S545" s="5">
        <v>25.064999999999998</v>
      </c>
      <c r="T545" s="5">
        <v>35.374000000000002</v>
      </c>
      <c r="U545" s="2">
        <v>0.58824999999999994</v>
      </c>
      <c r="V545" s="5">
        <v>78</v>
      </c>
      <c r="W545" s="5">
        <v>78</v>
      </c>
      <c r="AA545" s="2"/>
      <c r="AJ545" s="4"/>
      <c r="AR545" s="4"/>
    </row>
    <row r="546" spans="4:44">
      <c r="D546" s="5">
        <v>-8.1999999999999993</v>
      </c>
      <c r="E546" s="5">
        <v>80</v>
      </c>
      <c r="F546" s="5">
        <v>27.998999999999999</v>
      </c>
      <c r="G546" s="2">
        <v>3.9860000000000002</v>
      </c>
      <c r="H546" s="5">
        <f t="shared" si="43"/>
        <v>84.735500000000002</v>
      </c>
      <c r="I546" s="5">
        <f t="shared" si="44"/>
        <v>84.735500000000002</v>
      </c>
      <c r="K546" s="5">
        <v>8.1999999999999993</v>
      </c>
      <c r="L546" s="5">
        <v>43.39</v>
      </c>
      <c r="M546" s="5">
        <f t="shared" ref="M546:M577" si="47">$M$481-($M$481-$M$578)/3</f>
        <v>31.872888888888891</v>
      </c>
      <c r="N546" s="5">
        <v>1.4120000000000001</v>
      </c>
      <c r="O546" s="5">
        <f t="shared" si="45"/>
        <v>780</v>
      </c>
      <c r="P546" s="5">
        <f t="shared" si="46"/>
        <v>90</v>
      </c>
      <c r="R546" s="5">
        <v>20.9</v>
      </c>
      <c r="S546" s="5">
        <v>25.82</v>
      </c>
      <c r="T546" s="5">
        <v>35.374000000000002</v>
      </c>
      <c r="U546" s="2">
        <v>0.623</v>
      </c>
      <c r="V546" s="5">
        <v>78</v>
      </c>
      <c r="W546" s="5">
        <v>78</v>
      </c>
      <c r="AA546" s="2"/>
      <c r="AJ546" s="4"/>
      <c r="AR546" s="4"/>
    </row>
    <row r="547" spans="4:44">
      <c r="D547" s="5">
        <v>-8.3999999999999986</v>
      </c>
      <c r="E547" s="5">
        <v>83.5</v>
      </c>
      <c r="F547" s="5">
        <v>27.998999999999999</v>
      </c>
      <c r="G547" s="2">
        <v>4.0209999999999999</v>
      </c>
      <c r="H547" s="5">
        <f t="shared" si="43"/>
        <v>84.872</v>
      </c>
      <c r="I547" s="5">
        <f t="shared" si="44"/>
        <v>84.872</v>
      </c>
      <c r="K547" s="5">
        <v>8.3249999999999993</v>
      </c>
      <c r="L547" s="5">
        <v>57.152500000000003</v>
      </c>
      <c r="M547" s="5">
        <f t="shared" si="47"/>
        <v>31.872888888888891</v>
      </c>
      <c r="N547" s="5">
        <v>1.3540000000000001</v>
      </c>
      <c r="O547" s="5">
        <f t="shared" si="45"/>
        <v>780</v>
      </c>
      <c r="P547" s="5">
        <f t="shared" si="46"/>
        <v>90</v>
      </c>
      <c r="R547" s="5">
        <v>20.875</v>
      </c>
      <c r="S547" s="5">
        <v>27.740000000000002</v>
      </c>
      <c r="T547" s="5">
        <v>35.374000000000002</v>
      </c>
      <c r="U547" s="2">
        <v>0.58450000000000002</v>
      </c>
      <c r="V547" s="5">
        <v>78</v>
      </c>
      <c r="W547" s="5">
        <v>78</v>
      </c>
      <c r="AA547" s="2"/>
      <c r="AJ547" s="4"/>
      <c r="AR547" s="4"/>
    </row>
    <row r="548" spans="4:44">
      <c r="D548" s="5">
        <v>-8.6</v>
      </c>
      <c r="E548" s="5">
        <v>87</v>
      </c>
      <c r="F548" s="5">
        <v>27.998999999999999</v>
      </c>
      <c r="G548" s="2">
        <v>4.056</v>
      </c>
      <c r="H548" s="5">
        <f t="shared" si="43"/>
        <v>85.009500000000003</v>
      </c>
      <c r="I548" s="5">
        <f t="shared" si="44"/>
        <v>85.009500000000003</v>
      </c>
      <c r="K548" s="5">
        <v>8.4499999999999993</v>
      </c>
      <c r="L548" s="5">
        <v>70.914999999999992</v>
      </c>
      <c r="M548" s="5">
        <f t="shared" si="47"/>
        <v>31.872888888888891</v>
      </c>
      <c r="N548" s="5">
        <v>1.296</v>
      </c>
      <c r="O548" s="5">
        <f t="shared" si="45"/>
        <v>780</v>
      </c>
      <c r="P548" s="5">
        <f t="shared" si="46"/>
        <v>90</v>
      </c>
      <c r="R548" s="5">
        <v>20.85</v>
      </c>
      <c r="S548" s="5">
        <v>29.660000000000004</v>
      </c>
      <c r="T548" s="5">
        <v>35.374000000000002</v>
      </c>
      <c r="U548" s="2">
        <v>0.54600000000000004</v>
      </c>
      <c r="V548" s="5">
        <v>78</v>
      </c>
      <c r="W548" s="5">
        <v>78</v>
      </c>
      <c r="AA548" s="2"/>
      <c r="AJ548" s="4"/>
      <c r="AR548" s="4"/>
    </row>
    <row r="549" spans="4:44">
      <c r="D549" s="5">
        <v>-8.8000000000000007</v>
      </c>
      <c r="E549" s="5">
        <v>90.5</v>
      </c>
      <c r="F549" s="5">
        <v>27.998999999999999</v>
      </c>
      <c r="G549" s="2">
        <v>4.0910000000000002</v>
      </c>
      <c r="H549" s="5">
        <f t="shared" si="43"/>
        <v>85.147999999999996</v>
      </c>
      <c r="I549" s="5">
        <f t="shared" si="44"/>
        <v>85.147999999999996</v>
      </c>
      <c r="K549" s="5">
        <v>8.5749999999999993</v>
      </c>
      <c r="L549" s="5">
        <v>84.677499999999981</v>
      </c>
      <c r="M549" s="5">
        <f t="shared" si="47"/>
        <v>31.872888888888891</v>
      </c>
      <c r="N549" s="5">
        <v>1.238</v>
      </c>
      <c r="O549" s="5">
        <f t="shared" si="45"/>
        <v>780</v>
      </c>
      <c r="P549" s="5">
        <f t="shared" si="46"/>
        <v>90</v>
      </c>
      <c r="R549" s="5">
        <v>20.824999999999999</v>
      </c>
      <c r="S549" s="5">
        <v>31.58</v>
      </c>
      <c r="T549" s="5">
        <v>35.374000000000002</v>
      </c>
      <c r="U549" s="2">
        <v>0.50749999999999995</v>
      </c>
      <c r="V549" s="5">
        <v>78</v>
      </c>
      <c r="W549" s="5">
        <v>78</v>
      </c>
      <c r="AA549" s="2"/>
      <c r="AJ549" s="4"/>
      <c r="AR549" s="4"/>
    </row>
    <row r="550" spans="4:44">
      <c r="D550" s="5">
        <v>-9</v>
      </c>
      <c r="E550" s="5">
        <v>94</v>
      </c>
      <c r="F550" s="5">
        <v>27.998999999999999</v>
      </c>
      <c r="G550" s="2">
        <v>4.1260000000000003</v>
      </c>
      <c r="H550" s="5">
        <f t="shared" si="43"/>
        <v>85.287499999999994</v>
      </c>
      <c r="I550" s="5">
        <f t="shared" si="44"/>
        <v>85.287499999999994</v>
      </c>
      <c r="K550" s="5">
        <v>8.6999999999999993</v>
      </c>
      <c r="L550" s="5">
        <v>98.44</v>
      </c>
      <c r="M550" s="5">
        <f t="shared" si="47"/>
        <v>31.872888888888891</v>
      </c>
      <c r="N550" s="5">
        <v>1.18</v>
      </c>
      <c r="O550" s="5">
        <f t="shared" si="45"/>
        <v>780</v>
      </c>
      <c r="P550" s="5">
        <f t="shared" si="46"/>
        <v>90</v>
      </c>
      <c r="R550" s="5">
        <v>20.8</v>
      </c>
      <c r="S550" s="5">
        <v>33.5</v>
      </c>
      <c r="T550" s="5">
        <v>35.374000000000002</v>
      </c>
      <c r="U550" s="2">
        <v>0.46899999999999997</v>
      </c>
      <c r="V550" s="5">
        <v>78</v>
      </c>
      <c r="W550" s="5">
        <v>78</v>
      </c>
      <c r="AA550" s="2"/>
      <c r="AJ550" s="4"/>
      <c r="AR550" s="4"/>
    </row>
    <row r="551" spans="4:44">
      <c r="D551" s="5">
        <v>-9.25</v>
      </c>
      <c r="E551" s="5">
        <v>98.70750000000001</v>
      </c>
      <c r="F551" s="5">
        <v>27.998999999999999</v>
      </c>
      <c r="G551" s="2">
        <v>4.1342499999999998</v>
      </c>
      <c r="H551" s="5">
        <f t="shared" si="43"/>
        <v>85.463281249999994</v>
      </c>
      <c r="I551" s="5">
        <f t="shared" si="44"/>
        <v>85.463281249999994</v>
      </c>
      <c r="K551" s="5">
        <v>8.7749999999999986</v>
      </c>
      <c r="L551" s="5">
        <v>96.812499999999986</v>
      </c>
      <c r="M551" s="5">
        <f t="shared" si="47"/>
        <v>31.872888888888891</v>
      </c>
      <c r="N551" s="5">
        <v>1.14225</v>
      </c>
      <c r="O551" s="5">
        <f t="shared" si="45"/>
        <v>780</v>
      </c>
      <c r="P551" s="5">
        <f t="shared" si="46"/>
        <v>90</v>
      </c>
      <c r="R551" s="5">
        <v>20.149999999999999</v>
      </c>
      <c r="S551" s="5">
        <v>34.08</v>
      </c>
      <c r="T551" s="5">
        <v>35.374000000000002</v>
      </c>
      <c r="U551" s="2">
        <v>0.48824999999999996</v>
      </c>
      <c r="V551" s="5">
        <v>78</v>
      </c>
      <c r="W551" s="5">
        <v>78</v>
      </c>
      <c r="AA551" s="2"/>
      <c r="AJ551" s="4"/>
      <c r="AR551" s="4"/>
    </row>
    <row r="552" spans="4:44">
      <c r="D552" s="5">
        <v>-9.5</v>
      </c>
      <c r="E552" s="5">
        <v>103.41499999999999</v>
      </c>
      <c r="F552" s="5">
        <v>27.998999999999999</v>
      </c>
      <c r="G552" s="2">
        <v>4.1425000000000001</v>
      </c>
      <c r="H552" s="5">
        <f t="shared" si="43"/>
        <v>85.640625</v>
      </c>
      <c r="I552" s="5">
        <f t="shared" si="44"/>
        <v>85.640625</v>
      </c>
      <c r="K552" s="5">
        <v>8.85</v>
      </c>
      <c r="L552" s="5">
        <v>95.185000000000002</v>
      </c>
      <c r="M552" s="5">
        <f t="shared" si="47"/>
        <v>31.872888888888891</v>
      </c>
      <c r="N552" s="5">
        <v>1.1045</v>
      </c>
      <c r="O552" s="5">
        <f t="shared" si="45"/>
        <v>780</v>
      </c>
      <c r="P552" s="5">
        <f t="shared" si="46"/>
        <v>90</v>
      </c>
      <c r="R552" s="5">
        <v>19.5</v>
      </c>
      <c r="S552" s="5">
        <v>34.660000000000004</v>
      </c>
      <c r="T552" s="5">
        <v>35.374000000000002</v>
      </c>
      <c r="U552" s="2">
        <v>0.50749999999999995</v>
      </c>
      <c r="V552" s="5">
        <v>78</v>
      </c>
      <c r="W552" s="5">
        <v>78</v>
      </c>
      <c r="AA552" s="2"/>
      <c r="AJ552" s="4"/>
      <c r="AR552" s="4"/>
    </row>
    <row r="553" spans="4:44">
      <c r="D553" s="5">
        <v>-9.75</v>
      </c>
      <c r="E553" s="5">
        <v>108.1225</v>
      </c>
      <c r="F553" s="5">
        <v>27.998999999999999</v>
      </c>
      <c r="G553" s="2">
        <v>4.1507500000000004</v>
      </c>
      <c r="H553" s="5">
        <f t="shared" si="43"/>
        <v>85.819531249999997</v>
      </c>
      <c r="I553" s="5">
        <f t="shared" si="44"/>
        <v>85.819531249999997</v>
      </c>
      <c r="K553" s="5">
        <v>8.9250000000000007</v>
      </c>
      <c r="L553" s="5">
        <v>93.557500000000005</v>
      </c>
      <c r="M553" s="5">
        <f t="shared" si="47"/>
        <v>31.872888888888891</v>
      </c>
      <c r="N553" s="5">
        <v>1.0667500000000001</v>
      </c>
      <c r="O553" s="5">
        <f t="shared" si="45"/>
        <v>780</v>
      </c>
      <c r="P553" s="5">
        <f t="shared" si="46"/>
        <v>90</v>
      </c>
      <c r="R553" s="5">
        <v>18.850000000000001</v>
      </c>
      <c r="S553" s="5">
        <v>35.24</v>
      </c>
      <c r="T553" s="5">
        <v>35.374000000000002</v>
      </c>
      <c r="U553" s="2">
        <v>0.52675000000000005</v>
      </c>
      <c r="V553" s="5">
        <v>78</v>
      </c>
      <c r="W553" s="5">
        <v>78</v>
      </c>
      <c r="AA553" s="2"/>
      <c r="AJ553" s="4"/>
      <c r="AR553" s="4"/>
    </row>
    <row r="554" spans="4:44">
      <c r="D554" s="5">
        <v>-10</v>
      </c>
      <c r="E554" s="5">
        <v>112.83</v>
      </c>
      <c r="F554" s="5">
        <v>27.998999999999999</v>
      </c>
      <c r="G554" s="2">
        <v>4.1589999999999998</v>
      </c>
      <c r="H554" s="5">
        <f t="shared" si="43"/>
        <v>86</v>
      </c>
      <c r="I554" s="5">
        <f t="shared" si="44"/>
        <v>86</v>
      </c>
      <c r="K554" s="5">
        <v>9</v>
      </c>
      <c r="L554" s="5">
        <v>91.929999999999993</v>
      </c>
      <c r="M554" s="5">
        <f t="shared" si="47"/>
        <v>31.872888888888891</v>
      </c>
      <c r="N554" s="5">
        <v>1.0289999999999999</v>
      </c>
      <c r="O554" s="5">
        <f t="shared" si="45"/>
        <v>780</v>
      </c>
      <c r="P554" s="5">
        <f t="shared" si="46"/>
        <v>90</v>
      </c>
      <c r="R554" s="5">
        <v>18.2</v>
      </c>
      <c r="S554" s="5">
        <v>35.82</v>
      </c>
      <c r="T554" s="5">
        <v>35.374000000000002</v>
      </c>
      <c r="U554" s="2">
        <v>0.54600000000000004</v>
      </c>
      <c r="V554" s="5">
        <v>78</v>
      </c>
      <c r="W554" s="5">
        <v>78</v>
      </c>
      <c r="AA554" s="2"/>
      <c r="AJ554" s="4"/>
      <c r="AR554" s="4"/>
    </row>
    <row r="555" spans="4:44">
      <c r="D555" s="5">
        <v>-10.15</v>
      </c>
      <c r="E555" s="5">
        <v>113.45750000000001</v>
      </c>
      <c r="F555" s="5">
        <v>27.998999999999999</v>
      </c>
      <c r="G555" s="2">
        <v>4.1795</v>
      </c>
      <c r="H555" s="5">
        <f t="shared" si="43"/>
        <v>86.109031250000001</v>
      </c>
      <c r="I555" s="5">
        <f t="shared" si="44"/>
        <v>86.109031250000001</v>
      </c>
      <c r="K555" s="5">
        <v>8.9499999999999993</v>
      </c>
      <c r="L555" s="5">
        <v>92.38</v>
      </c>
      <c r="M555" s="5">
        <f t="shared" si="47"/>
        <v>31.872888888888891</v>
      </c>
      <c r="N555" s="5">
        <v>1.0669999999999999</v>
      </c>
      <c r="O555" s="5">
        <f t="shared" si="45"/>
        <v>780</v>
      </c>
      <c r="P555" s="5">
        <f t="shared" si="46"/>
        <v>90</v>
      </c>
      <c r="R555" s="5">
        <v>18.149999999999999</v>
      </c>
      <c r="S555" s="5">
        <v>36.135000000000005</v>
      </c>
      <c r="T555" s="5">
        <v>35.374000000000002</v>
      </c>
      <c r="U555" s="2">
        <v>0.54125000000000001</v>
      </c>
      <c r="V555" s="5">
        <v>78</v>
      </c>
      <c r="W555" s="5">
        <v>78</v>
      </c>
      <c r="AA555" s="2"/>
      <c r="AJ555" s="4"/>
      <c r="AR555" s="4"/>
    </row>
    <row r="556" spans="4:44">
      <c r="D556" s="5">
        <v>-10.3</v>
      </c>
      <c r="E556" s="5">
        <v>114.08500000000001</v>
      </c>
      <c r="F556" s="5">
        <v>27.998999999999999</v>
      </c>
      <c r="G556" s="2">
        <v>4.2</v>
      </c>
      <c r="H556" s="5">
        <f t="shared" si="43"/>
        <v>86.218625000000003</v>
      </c>
      <c r="I556" s="5">
        <f t="shared" si="44"/>
        <v>86.218625000000003</v>
      </c>
      <c r="K556" s="5">
        <v>8.9</v>
      </c>
      <c r="L556" s="5">
        <v>92.83</v>
      </c>
      <c r="M556" s="5">
        <f t="shared" si="47"/>
        <v>31.872888888888891</v>
      </c>
      <c r="N556" s="5">
        <v>1.105</v>
      </c>
      <c r="O556" s="5">
        <f t="shared" si="45"/>
        <v>780</v>
      </c>
      <c r="P556" s="5">
        <f t="shared" si="46"/>
        <v>90</v>
      </c>
      <c r="R556" s="5">
        <v>18.100000000000001</v>
      </c>
      <c r="S556" s="5">
        <v>36.450000000000003</v>
      </c>
      <c r="T556" s="5">
        <v>35.374000000000002</v>
      </c>
      <c r="U556" s="2">
        <v>0.53649999999999998</v>
      </c>
      <c r="V556" s="5">
        <v>78</v>
      </c>
      <c r="W556" s="5">
        <v>78</v>
      </c>
      <c r="AA556" s="2"/>
      <c r="AJ556" s="4"/>
      <c r="AR556" s="4"/>
    </row>
    <row r="557" spans="4:44">
      <c r="D557" s="5">
        <v>-10.45</v>
      </c>
      <c r="E557" s="5">
        <v>114.71249999999999</v>
      </c>
      <c r="F557" s="5">
        <v>27.998999999999999</v>
      </c>
      <c r="G557" s="2">
        <v>4.2204999999999995</v>
      </c>
      <c r="H557" s="5">
        <f t="shared" si="43"/>
        <v>86.328781249999992</v>
      </c>
      <c r="I557" s="5">
        <f t="shared" si="44"/>
        <v>86.328781249999992</v>
      </c>
      <c r="K557" s="5">
        <v>8.8500000000000014</v>
      </c>
      <c r="L557" s="5">
        <v>93.28</v>
      </c>
      <c r="M557" s="5">
        <f t="shared" si="47"/>
        <v>31.872888888888891</v>
      </c>
      <c r="N557" s="5">
        <v>1.143</v>
      </c>
      <c r="O557" s="5">
        <f t="shared" si="45"/>
        <v>780</v>
      </c>
      <c r="P557" s="5">
        <f t="shared" si="46"/>
        <v>90</v>
      </c>
      <c r="R557" s="5">
        <v>18.05</v>
      </c>
      <c r="S557" s="5">
        <v>36.765000000000001</v>
      </c>
      <c r="T557" s="5">
        <v>35.374000000000002</v>
      </c>
      <c r="U557" s="2">
        <v>0.53174999999999994</v>
      </c>
      <c r="V557" s="5">
        <v>78</v>
      </c>
      <c r="W557" s="5">
        <v>78</v>
      </c>
      <c r="AA557" s="2"/>
      <c r="AJ557" s="4"/>
      <c r="AR557" s="4"/>
    </row>
    <row r="558" spans="4:44">
      <c r="D558" s="5">
        <v>-10.6</v>
      </c>
      <c r="E558" s="5">
        <v>115.34</v>
      </c>
      <c r="F558" s="5">
        <v>27.998999999999999</v>
      </c>
      <c r="G558" s="2">
        <v>4.2409999999999997</v>
      </c>
      <c r="H558" s="5">
        <f t="shared" si="43"/>
        <v>86.439499999999995</v>
      </c>
      <c r="I558" s="5">
        <f t="shared" si="44"/>
        <v>86.439499999999995</v>
      </c>
      <c r="K558" s="5">
        <v>8.8000000000000007</v>
      </c>
      <c r="L558" s="5">
        <v>93.72999999999999</v>
      </c>
      <c r="M558" s="5">
        <f t="shared" si="47"/>
        <v>31.872888888888891</v>
      </c>
      <c r="N558" s="5">
        <v>1.181</v>
      </c>
      <c r="O558" s="5">
        <f t="shared" si="45"/>
        <v>780</v>
      </c>
      <c r="P558" s="5">
        <f t="shared" si="46"/>
        <v>90</v>
      </c>
      <c r="R558" s="5">
        <v>18</v>
      </c>
      <c r="S558" s="5">
        <v>37.08</v>
      </c>
      <c r="T558" s="5">
        <v>35.374000000000002</v>
      </c>
      <c r="U558" s="2">
        <v>0.52699999999999991</v>
      </c>
      <c r="V558" s="5">
        <v>78</v>
      </c>
      <c r="W558" s="5">
        <v>78</v>
      </c>
      <c r="AA558" s="2"/>
      <c r="AJ558" s="4"/>
      <c r="AR558" s="4"/>
    </row>
    <row r="559" spans="4:44">
      <c r="D559" s="5">
        <v>-10.775</v>
      </c>
      <c r="E559" s="5">
        <v>113.26499999999999</v>
      </c>
      <c r="F559" s="5">
        <v>27.998999999999999</v>
      </c>
      <c r="G559" s="2">
        <v>4.2519999999999998</v>
      </c>
      <c r="H559" s="5">
        <f t="shared" si="43"/>
        <v>86.569382812499995</v>
      </c>
      <c r="I559" s="5">
        <f t="shared" si="44"/>
        <v>86.569382812499995</v>
      </c>
      <c r="K559" s="5">
        <v>8.7000000000000011</v>
      </c>
      <c r="L559" s="5">
        <v>92.057500000000005</v>
      </c>
      <c r="M559" s="5">
        <f t="shared" si="47"/>
        <v>31.872888888888891</v>
      </c>
      <c r="N559" s="5">
        <v>1.2610000000000001</v>
      </c>
      <c r="O559" s="5">
        <f t="shared" si="45"/>
        <v>780</v>
      </c>
      <c r="P559" s="5">
        <f t="shared" si="46"/>
        <v>90</v>
      </c>
      <c r="R559" s="5">
        <v>18.375</v>
      </c>
      <c r="S559" s="5">
        <v>37.015000000000001</v>
      </c>
      <c r="T559" s="5">
        <v>35.374000000000002</v>
      </c>
      <c r="U559" s="2">
        <v>0.53849999999999998</v>
      </c>
      <c r="V559" s="5">
        <v>78</v>
      </c>
      <c r="W559" s="5">
        <v>78</v>
      </c>
      <c r="AA559" s="2"/>
      <c r="AJ559" s="4"/>
      <c r="AR559" s="4"/>
    </row>
    <row r="560" spans="4:44">
      <c r="D560" s="5">
        <v>-10.95</v>
      </c>
      <c r="E560" s="5">
        <v>111.19</v>
      </c>
      <c r="F560" s="5">
        <v>27.998999999999999</v>
      </c>
      <c r="G560" s="2">
        <v>4.2629999999999999</v>
      </c>
      <c r="H560" s="5">
        <f t="shared" si="43"/>
        <v>86.700031249999995</v>
      </c>
      <c r="I560" s="5">
        <f t="shared" si="44"/>
        <v>86.700031249999995</v>
      </c>
      <c r="K560" s="5">
        <v>8.6000000000000014</v>
      </c>
      <c r="L560" s="5">
        <v>90.384999999999991</v>
      </c>
      <c r="M560" s="5">
        <f t="shared" si="47"/>
        <v>31.872888888888891</v>
      </c>
      <c r="N560" s="5">
        <v>1.341</v>
      </c>
      <c r="O560" s="5">
        <f t="shared" si="45"/>
        <v>780</v>
      </c>
      <c r="P560" s="5">
        <f t="shared" si="46"/>
        <v>90</v>
      </c>
      <c r="R560" s="5">
        <v>18.75</v>
      </c>
      <c r="S560" s="5">
        <v>36.949999999999996</v>
      </c>
      <c r="T560" s="5">
        <v>35.374000000000002</v>
      </c>
      <c r="U560" s="2">
        <v>0.55000000000000004</v>
      </c>
      <c r="V560" s="5">
        <v>78</v>
      </c>
      <c r="W560" s="5">
        <v>78</v>
      </c>
      <c r="AA560" s="2"/>
      <c r="AJ560" s="4"/>
      <c r="AR560" s="4"/>
    </row>
    <row r="561" spans="4:44">
      <c r="D561" s="5">
        <v>-11.125</v>
      </c>
      <c r="E561" s="5">
        <v>109.11500000000001</v>
      </c>
      <c r="F561" s="5">
        <v>27.998999999999999</v>
      </c>
      <c r="G561" s="2">
        <v>4.274</v>
      </c>
      <c r="H561" s="5">
        <f t="shared" si="43"/>
        <v>86.831445312499994</v>
      </c>
      <c r="I561" s="5">
        <f t="shared" si="44"/>
        <v>86.831445312499994</v>
      </c>
      <c r="K561" s="5">
        <v>8.5</v>
      </c>
      <c r="L561" s="5">
        <v>88.712500000000006</v>
      </c>
      <c r="M561" s="5">
        <f t="shared" si="47"/>
        <v>31.872888888888891</v>
      </c>
      <c r="N561" s="5">
        <v>1.421</v>
      </c>
      <c r="O561" s="5">
        <f t="shared" si="45"/>
        <v>780</v>
      </c>
      <c r="P561" s="5">
        <f t="shared" si="46"/>
        <v>90</v>
      </c>
      <c r="R561" s="5">
        <v>19.125</v>
      </c>
      <c r="S561" s="5">
        <v>36.884999999999998</v>
      </c>
      <c r="T561" s="5">
        <v>35.374000000000002</v>
      </c>
      <c r="U561" s="2">
        <v>0.5615</v>
      </c>
      <c r="V561" s="5">
        <v>78</v>
      </c>
      <c r="W561" s="5">
        <v>78</v>
      </c>
      <c r="AA561" s="2"/>
      <c r="AJ561" s="4"/>
      <c r="AR561" s="4"/>
    </row>
    <row r="562" spans="4:44">
      <c r="D562" s="5">
        <v>-11.3</v>
      </c>
      <c r="E562" s="5">
        <v>107.04</v>
      </c>
      <c r="F562" s="5">
        <v>27.998999999999999</v>
      </c>
      <c r="G562" s="2">
        <v>4.2850000000000001</v>
      </c>
      <c r="H562" s="5">
        <f t="shared" si="43"/>
        <v>86.963625000000008</v>
      </c>
      <c r="I562" s="5">
        <f t="shared" si="44"/>
        <v>86.963625000000008</v>
      </c>
      <c r="K562" s="5">
        <v>8.4</v>
      </c>
      <c r="L562" s="5">
        <v>87.04</v>
      </c>
      <c r="M562" s="5">
        <f t="shared" si="47"/>
        <v>31.872888888888891</v>
      </c>
      <c r="N562" s="5">
        <v>1.5010000000000001</v>
      </c>
      <c r="O562" s="5">
        <f t="shared" si="45"/>
        <v>780</v>
      </c>
      <c r="P562" s="5">
        <f t="shared" si="46"/>
        <v>90</v>
      </c>
      <c r="R562" s="5">
        <v>19.5</v>
      </c>
      <c r="S562" s="5">
        <v>36.82</v>
      </c>
      <c r="T562" s="5">
        <v>35.374000000000002</v>
      </c>
      <c r="U562" s="2">
        <v>0.57299999999999995</v>
      </c>
      <c r="V562" s="5">
        <v>78</v>
      </c>
      <c r="W562" s="5">
        <v>78</v>
      </c>
      <c r="AA562" s="2"/>
      <c r="AJ562" s="4"/>
      <c r="AR562" s="4"/>
    </row>
    <row r="563" spans="4:44">
      <c r="D563" s="5">
        <v>-11.45</v>
      </c>
      <c r="E563" s="5">
        <v>104.005</v>
      </c>
      <c r="F563" s="5">
        <v>27.998999999999999</v>
      </c>
      <c r="G563" s="2">
        <v>4.2584999999999997</v>
      </c>
      <c r="H563" s="5">
        <f t="shared" si="43"/>
        <v>87.077531249999993</v>
      </c>
      <c r="I563" s="5">
        <f t="shared" si="44"/>
        <v>87.077531249999993</v>
      </c>
      <c r="K563" s="5">
        <v>8.2249999999999996</v>
      </c>
      <c r="L563" s="5">
        <v>90.405000000000015</v>
      </c>
      <c r="M563" s="5">
        <f t="shared" si="47"/>
        <v>31.872888888888891</v>
      </c>
      <c r="N563" s="5">
        <v>1.5282500000000001</v>
      </c>
      <c r="O563" s="5">
        <f t="shared" si="45"/>
        <v>780</v>
      </c>
      <c r="P563" s="5">
        <f t="shared" si="46"/>
        <v>90</v>
      </c>
      <c r="R563" s="5">
        <v>19.225000000000001</v>
      </c>
      <c r="S563" s="5">
        <v>36.567500000000003</v>
      </c>
      <c r="T563" s="5">
        <v>35.374000000000002</v>
      </c>
      <c r="U563" s="2">
        <v>0.53875000000000006</v>
      </c>
      <c r="V563" s="5">
        <v>78</v>
      </c>
      <c r="W563" s="5">
        <v>78</v>
      </c>
      <c r="AA563" s="2"/>
      <c r="AJ563" s="4"/>
      <c r="AR563" s="4"/>
    </row>
    <row r="564" spans="4:44">
      <c r="D564" s="5">
        <v>-11.6</v>
      </c>
      <c r="E564" s="5">
        <v>100.97</v>
      </c>
      <c r="F564" s="5">
        <v>27.998999999999999</v>
      </c>
      <c r="G564" s="2">
        <v>4.2320000000000002</v>
      </c>
      <c r="H564" s="5">
        <f t="shared" si="43"/>
        <v>87.192000000000007</v>
      </c>
      <c r="I564" s="5">
        <f t="shared" si="44"/>
        <v>87.192000000000007</v>
      </c>
      <c r="K564" s="5">
        <v>8.0500000000000007</v>
      </c>
      <c r="L564" s="5">
        <v>93.77000000000001</v>
      </c>
      <c r="M564" s="5">
        <f t="shared" si="47"/>
        <v>31.872888888888891</v>
      </c>
      <c r="N564" s="5">
        <v>1.5555000000000001</v>
      </c>
      <c r="O564" s="5">
        <f t="shared" si="45"/>
        <v>780</v>
      </c>
      <c r="P564" s="5">
        <f t="shared" si="46"/>
        <v>90</v>
      </c>
      <c r="R564" s="5">
        <v>18.95</v>
      </c>
      <c r="S564" s="5">
        <v>36.314999999999998</v>
      </c>
      <c r="T564" s="5">
        <v>35.374000000000002</v>
      </c>
      <c r="U564" s="2">
        <v>0.50449999999999995</v>
      </c>
      <c r="V564" s="5">
        <v>78</v>
      </c>
      <c r="W564" s="5">
        <v>78</v>
      </c>
      <c r="AA564" s="2"/>
      <c r="AJ564" s="4"/>
      <c r="AR564" s="4"/>
    </row>
    <row r="565" spans="4:44">
      <c r="D565" s="5">
        <v>-11.75</v>
      </c>
      <c r="E565" s="5">
        <v>97.935000000000002</v>
      </c>
      <c r="F565" s="5">
        <v>27.998999999999999</v>
      </c>
      <c r="G565" s="2">
        <v>4.2054999999999998</v>
      </c>
      <c r="H565" s="5">
        <f t="shared" si="43"/>
        <v>87.307031249999994</v>
      </c>
      <c r="I565" s="5">
        <f t="shared" si="44"/>
        <v>87.307031249999994</v>
      </c>
      <c r="K565" s="5">
        <v>7.875</v>
      </c>
      <c r="L565" s="5">
        <v>97.134999999999991</v>
      </c>
      <c r="M565" s="5">
        <f t="shared" si="47"/>
        <v>31.872888888888891</v>
      </c>
      <c r="N565" s="5">
        <v>1.5827500000000001</v>
      </c>
      <c r="O565" s="5">
        <f t="shared" si="45"/>
        <v>780</v>
      </c>
      <c r="P565" s="5">
        <f t="shared" si="46"/>
        <v>90</v>
      </c>
      <c r="R565" s="5">
        <v>18.675000000000001</v>
      </c>
      <c r="S565" s="5">
        <v>36.0625</v>
      </c>
      <c r="T565" s="5">
        <v>35.374000000000002</v>
      </c>
      <c r="U565" s="2">
        <v>0.47025</v>
      </c>
      <c r="V565" s="5">
        <v>78</v>
      </c>
      <c r="W565" s="5">
        <v>78</v>
      </c>
      <c r="AA565" s="2"/>
      <c r="AJ565" s="4"/>
      <c r="AR565" s="4"/>
    </row>
    <row r="566" spans="4:44">
      <c r="D566" s="5">
        <v>-11.9</v>
      </c>
      <c r="E566" s="5">
        <v>94.9</v>
      </c>
      <c r="F566" s="5">
        <v>27.998999999999999</v>
      </c>
      <c r="G566" s="2">
        <v>4.1790000000000003</v>
      </c>
      <c r="H566" s="5">
        <f t="shared" si="43"/>
        <v>87.422624999999996</v>
      </c>
      <c r="I566" s="5">
        <f t="shared" si="44"/>
        <v>87.422624999999996</v>
      </c>
      <c r="K566" s="5">
        <v>7.7</v>
      </c>
      <c r="L566" s="5">
        <v>100.5</v>
      </c>
      <c r="M566" s="5">
        <f t="shared" si="47"/>
        <v>31.872888888888891</v>
      </c>
      <c r="N566" s="5">
        <v>1.61</v>
      </c>
      <c r="O566" s="5">
        <f t="shared" si="45"/>
        <v>780</v>
      </c>
      <c r="P566" s="5">
        <f t="shared" si="46"/>
        <v>90</v>
      </c>
      <c r="R566" s="5">
        <v>18.399999999999999</v>
      </c>
      <c r="S566" s="5">
        <v>35.81</v>
      </c>
      <c r="T566" s="5">
        <v>35.374000000000002</v>
      </c>
      <c r="U566" s="2">
        <v>0.436</v>
      </c>
      <c r="V566" s="5">
        <v>78</v>
      </c>
      <c r="W566" s="5">
        <v>78</v>
      </c>
      <c r="AA566" s="2"/>
      <c r="AJ566" s="4"/>
      <c r="AR566" s="4"/>
    </row>
    <row r="567" spans="4:44">
      <c r="D567" s="5">
        <v>-11.95</v>
      </c>
      <c r="E567" s="5">
        <v>92.237500000000011</v>
      </c>
      <c r="F567" s="5">
        <v>27.998999999999999</v>
      </c>
      <c r="G567" s="2">
        <v>4.1669999999999998</v>
      </c>
      <c r="H567" s="5">
        <f t="shared" si="43"/>
        <v>87.461281249999999</v>
      </c>
      <c r="I567" s="5">
        <f t="shared" si="44"/>
        <v>87.461281249999999</v>
      </c>
      <c r="K567" s="5">
        <v>7.25</v>
      </c>
      <c r="L567" s="5">
        <v>99.142500000000013</v>
      </c>
      <c r="M567" s="5">
        <f t="shared" si="47"/>
        <v>31.872888888888891</v>
      </c>
      <c r="N567" s="5">
        <v>1.6172500000000001</v>
      </c>
      <c r="O567" s="5">
        <f t="shared" si="45"/>
        <v>780</v>
      </c>
      <c r="P567" s="5">
        <f t="shared" si="46"/>
        <v>90</v>
      </c>
      <c r="R567" s="5">
        <v>18.3</v>
      </c>
      <c r="S567" s="5">
        <v>35.592500000000001</v>
      </c>
      <c r="T567" s="5">
        <v>35.374000000000002</v>
      </c>
      <c r="U567" s="2">
        <v>0.43825000000000003</v>
      </c>
      <c r="V567" s="5">
        <v>78</v>
      </c>
      <c r="W567" s="5">
        <v>78</v>
      </c>
      <c r="AA567" s="2"/>
      <c r="AJ567" s="4"/>
      <c r="AR567" s="4"/>
    </row>
    <row r="568" spans="4:44">
      <c r="D568" s="5">
        <v>-12</v>
      </c>
      <c r="E568" s="5">
        <v>89.574999999999989</v>
      </c>
      <c r="F568" s="5">
        <v>27.998999999999999</v>
      </c>
      <c r="G568" s="2">
        <v>4.1550000000000002</v>
      </c>
      <c r="H568" s="5">
        <f t="shared" si="43"/>
        <v>87.5</v>
      </c>
      <c r="I568" s="5">
        <f t="shared" si="44"/>
        <v>87.5</v>
      </c>
      <c r="K568" s="5">
        <v>6.8000000000000007</v>
      </c>
      <c r="L568" s="5">
        <v>97.785000000000011</v>
      </c>
      <c r="M568" s="5">
        <f t="shared" si="47"/>
        <v>31.872888888888891</v>
      </c>
      <c r="N568" s="5">
        <v>1.6245000000000001</v>
      </c>
      <c r="O568" s="5">
        <f t="shared" si="45"/>
        <v>780</v>
      </c>
      <c r="P568" s="5">
        <f t="shared" si="46"/>
        <v>90</v>
      </c>
      <c r="R568" s="5">
        <v>18.2</v>
      </c>
      <c r="S568" s="5">
        <v>35.375</v>
      </c>
      <c r="T568" s="5">
        <v>35.374000000000002</v>
      </c>
      <c r="U568" s="2">
        <v>0.4405</v>
      </c>
      <c r="V568" s="5">
        <v>78</v>
      </c>
      <c r="W568" s="5">
        <v>78</v>
      </c>
      <c r="AA568" s="2"/>
      <c r="AJ568" s="4"/>
      <c r="AR568" s="4"/>
    </row>
    <row r="569" spans="4:44">
      <c r="D569" s="5">
        <v>-12.05</v>
      </c>
      <c r="E569" s="5">
        <v>86.912499999999994</v>
      </c>
      <c r="F569" s="5">
        <v>27.998999999999999</v>
      </c>
      <c r="G569" s="2">
        <v>4.1429999999999998</v>
      </c>
      <c r="H569" s="5">
        <f t="shared" si="43"/>
        <v>87.53878125</v>
      </c>
      <c r="I569" s="5">
        <f t="shared" si="44"/>
        <v>87.53878125</v>
      </c>
      <c r="K569" s="5">
        <v>6.3500000000000014</v>
      </c>
      <c r="L569" s="5">
        <v>96.427499999999995</v>
      </c>
      <c r="M569" s="5">
        <f t="shared" si="47"/>
        <v>31.872888888888891</v>
      </c>
      <c r="N569" s="5">
        <v>1.63175</v>
      </c>
      <c r="O569" s="5">
        <f t="shared" si="45"/>
        <v>780</v>
      </c>
      <c r="P569" s="5">
        <f t="shared" si="46"/>
        <v>90</v>
      </c>
      <c r="R569" s="5">
        <v>18.100000000000001</v>
      </c>
      <c r="S569" s="5">
        <v>35.157499999999999</v>
      </c>
      <c r="T569" s="5">
        <v>35.374000000000002</v>
      </c>
      <c r="U569" s="2">
        <v>0.44274999999999998</v>
      </c>
      <c r="V569" s="5">
        <v>78</v>
      </c>
      <c r="W569" s="5">
        <v>78</v>
      </c>
      <c r="AA569" s="2"/>
      <c r="AJ569" s="4"/>
      <c r="AR569" s="4"/>
    </row>
    <row r="570" spans="4:44">
      <c r="D570" s="5">
        <v>-12.1</v>
      </c>
      <c r="E570" s="5">
        <v>84.25</v>
      </c>
      <c r="F570" s="5">
        <v>27.998999999999999</v>
      </c>
      <c r="G570" s="2">
        <v>4.1310000000000002</v>
      </c>
      <c r="H570" s="5">
        <f t="shared" si="43"/>
        <v>87.577624999999998</v>
      </c>
      <c r="I570" s="5">
        <f t="shared" si="44"/>
        <v>87.577624999999998</v>
      </c>
      <c r="K570" s="5">
        <v>5.9</v>
      </c>
      <c r="L570" s="5">
        <v>95.07</v>
      </c>
      <c r="M570" s="5">
        <f t="shared" si="47"/>
        <v>31.872888888888891</v>
      </c>
      <c r="N570" s="5">
        <v>1.639</v>
      </c>
      <c r="O570" s="5">
        <f t="shared" si="45"/>
        <v>780</v>
      </c>
      <c r="P570" s="5">
        <f t="shared" si="46"/>
        <v>90</v>
      </c>
      <c r="R570" s="5">
        <v>18</v>
      </c>
      <c r="S570" s="5">
        <v>34.940000000000005</v>
      </c>
      <c r="T570" s="5">
        <v>35.374000000000002</v>
      </c>
      <c r="U570" s="2">
        <v>0.44500000000000001</v>
      </c>
      <c r="V570" s="5">
        <v>78</v>
      </c>
      <c r="W570" s="5">
        <v>78</v>
      </c>
      <c r="AA570" s="2"/>
      <c r="AJ570" s="4"/>
      <c r="AR570" s="4"/>
    </row>
    <row r="571" spans="4:44">
      <c r="D571" s="5">
        <v>-12.2</v>
      </c>
      <c r="E571" s="5">
        <v>82.95</v>
      </c>
      <c r="F571" s="5">
        <v>27.998999999999999</v>
      </c>
      <c r="G571" s="2">
        <v>4.0802500000000004</v>
      </c>
      <c r="H571" s="5">
        <f t="shared" si="43"/>
        <v>87.655500000000004</v>
      </c>
      <c r="I571" s="5">
        <f t="shared" si="44"/>
        <v>87.655500000000004</v>
      </c>
      <c r="K571" s="5">
        <v>5.7750000000000004</v>
      </c>
      <c r="L571" s="5">
        <v>91.075000000000003</v>
      </c>
      <c r="M571" s="5">
        <f t="shared" si="47"/>
        <v>31.872888888888891</v>
      </c>
      <c r="N571" s="5">
        <v>1.67225</v>
      </c>
      <c r="O571" s="5">
        <f t="shared" si="45"/>
        <v>780</v>
      </c>
      <c r="P571" s="5">
        <f t="shared" si="46"/>
        <v>90</v>
      </c>
      <c r="R571" s="5">
        <v>17.774999999999999</v>
      </c>
      <c r="S571" s="5">
        <v>34.657499999999999</v>
      </c>
      <c r="T571" s="5">
        <v>35.374000000000002</v>
      </c>
      <c r="U571" s="2">
        <v>0.42275000000000001</v>
      </c>
      <c r="V571" s="5">
        <v>78</v>
      </c>
      <c r="W571" s="5">
        <v>78</v>
      </c>
      <c r="AA571" s="2"/>
      <c r="AJ571" s="4"/>
      <c r="AR571" s="4"/>
    </row>
    <row r="572" spans="4:44">
      <c r="D572" s="5">
        <v>-12.3</v>
      </c>
      <c r="E572" s="5">
        <v>81.650000000000006</v>
      </c>
      <c r="F572" s="5">
        <v>27.998999999999999</v>
      </c>
      <c r="G572" s="2">
        <v>4.0294999999999996</v>
      </c>
      <c r="H572" s="5">
        <f t="shared" si="43"/>
        <v>87.733625000000004</v>
      </c>
      <c r="I572" s="5">
        <f t="shared" si="44"/>
        <v>87.733625000000004</v>
      </c>
      <c r="K572" s="5">
        <v>5.65</v>
      </c>
      <c r="L572" s="5">
        <v>87.08</v>
      </c>
      <c r="M572" s="5">
        <f t="shared" si="47"/>
        <v>31.872888888888891</v>
      </c>
      <c r="N572" s="5">
        <v>1.7055</v>
      </c>
      <c r="O572" s="5">
        <f t="shared" si="45"/>
        <v>780</v>
      </c>
      <c r="P572" s="5">
        <f t="shared" si="46"/>
        <v>90</v>
      </c>
      <c r="R572" s="5">
        <v>17.55</v>
      </c>
      <c r="S572" s="5">
        <v>34.375</v>
      </c>
      <c r="T572" s="5">
        <v>35.374000000000002</v>
      </c>
      <c r="U572" s="2">
        <v>0.41244999999999998</v>
      </c>
      <c r="V572" s="5">
        <v>78</v>
      </c>
      <c r="W572" s="5">
        <v>78</v>
      </c>
      <c r="AA572" s="2"/>
      <c r="AJ572" s="4"/>
      <c r="AR572" s="4"/>
    </row>
    <row r="573" spans="4:44">
      <c r="D573" s="5">
        <v>-12.4</v>
      </c>
      <c r="E573" s="5">
        <v>80.349999999999994</v>
      </c>
      <c r="F573" s="5">
        <v>27.998999999999999</v>
      </c>
      <c r="G573" s="2">
        <v>3.9787500000000002</v>
      </c>
      <c r="H573" s="5">
        <f t="shared" si="43"/>
        <v>87.811999999999998</v>
      </c>
      <c r="I573" s="5">
        <f t="shared" si="44"/>
        <v>87.811999999999998</v>
      </c>
      <c r="K573" s="5">
        <v>5.5250000000000004</v>
      </c>
      <c r="L573" s="5">
        <v>83.085000000000008</v>
      </c>
      <c r="M573" s="5">
        <f t="shared" si="47"/>
        <v>31.872888888888891</v>
      </c>
      <c r="N573" s="5">
        <v>1.73875</v>
      </c>
      <c r="O573" s="5">
        <f t="shared" si="45"/>
        <v>780</v>
      </c>
      <c r="P573" s="5">
        <f t="shared" si="46"/>
        <v>90</v>
      </c>
      <c r="R573" s="5">
        <v>17.324999999999999</v>
      </c>
      <c r="S573" s="5">
        <v>34.092500000000001</v>
      </c>
      <c r="T573" s="5">
        <v>35.374000000000002</v>
      </c>
      <c r="U573" s="2">
        <v>0.41267500000000001</v>
      </c>
      <c r="V573" s="5">
        <v>78</v>
      </c>
      <c r="W573" s="5">
        <v>78</v>
      </c>
      <c r="AA573" s="2"/>
      <c r="AJ573" s="4"/>
      <c r="AR573" s="4"/>
    </row>
    <row r="574" spans="4:44">
      <c r="D574" s="5">
        <v>-12.5</v>
      </c>
      <c r="E574" s="5">
        <v>79.05</v>
      </c>
      <c r="F574" s="5">
        <v>27.998999999999999</v>
      </c>
      <c r="G574" s="2">
        <v>3.9280000000000004</v>
      </c>
      <c r="H574" s="5">
        <f t="shared" si="43"/>
        <v>87.890625</v>
      </c>
      <c r="I574" s="5">
        <f t="shared" si="44"/>
        <v>87.890625</v>
      </c>
      <c r="K574" s="5">
        <v>5.4</v>
      </c>
      <c r="L574" s="5">
        <v>79.09</v>
      </c>
      <c r="M574" s="5">
        <f t="shared" si="47"/>
        <v>31.872888888888891</v>
      </c>
      <c r="N574" s="5">
        <v>1.772</v>
      </c>
      <c r="O574" s="5">
        <f t="shared" si="45"/>
        <v>780</v>
      </c>
      <c r="P574" s="5">
        <f t="shared" si="46"/>
        <v>90</v>
      </c>
      <c r="R574" s="5">
        <v>17.100000000000001</v>
      </c>
      <c r="S574" s="5">
        <v>33.809999999999995</v>
      </c>
      <c r="T574" s="5">
        <v>35.374000000000002</v>
      </c>
      <c r="U574" s="2">
        <v>0.41289999999999999</v>
      </c>
      <c r="V574" s="5">
        <v>78</v>
      </c>
      <c r="W574" s="5">
        <v>78</v>
      </c>
      <c r="AA574" s="2"/>
      <c r="AJ574" s="4"/>
      <c r="AR574" s="4"/>
    </row>
    <row r="575" spans="4:44">
      <c r="D575" s="5">
        <v>-12.574999999999999</v>
      </c>
      <c r="E575" s="5">
        <v>77.057500000000005</v>
      </c>
      <c r="F575" s="5">
        <v>27.998999999999999</v>
      </c>
      <c r="G575" s="2">
        <v>3.9552500000000004</v>
      </c>
      <c r="H575" s="5">
        <f t="shared" si="43"/>
        <v>87.949757812499996</v>
      </c>
      <c r="I575" s="5">
        <f t="shared" si="44"/>
        <v>87.949757812499996</v>
      </c>
      <c r="K575" s="5">
        <v>5.3250000000000002</v>
      </c>
      <c r="L575" s="5">
        <v>73.795000000000002</v>
      </c>
      <c r="M575" s="5">
        <f t="shared" si="47"/>
        <v>31.872888888888891</v>
      </c>
      <c r="N575" s="5">
        <v>1.7344999999999999</v>
      </c>
      <c r="O575" s="5">
        <f t="shared" si="45"/>
        <v>780</v>
      </c>
      <c r="P575" s="5">
        <f t="shared" si="46"/>
        <v>90</v>
      </c>
      <c r="R575" s="5">
        <v>16.649999999999999</v>
      </c>
      <c r="S575" s="5">
        <v>33.3825</v>
      </c>
      <c r="T575" s="5">
        <v>35.374000000000002</v>
      </c>
      <c r="U575" s="2">
        <v>0.41335</v>
      </c>
      <c r="V575" s="5">
        <v>78</v>
      </c>
      <c r="W575" s="5">
        <v>78</v>
      </c>
      <c r="AA575" s="2"/>
      <c r="AJ575" s="4"/>
      <c r="AR575" s="4"/>
    </row>
    <row r="576" spans="4:44">
      <c r="D576" s="5">
        <v>-12.65</v>
      </c>
      <c r="E576" s="5">
        <v>75.064999999999998</v>
      </c>
      <c r="F576" s="5">
        <v>27.998999999999999</v>
      </c>
      <c r="G576" s="2">
        <v>3.9825000000000004</v>
      </c>
      <c r="H576" s="5">
        <f t="shared" si="43"/>
        <v>88.009031249999992</v>
      </c>
      <c r="I576" s="5">
        <f t="shared" si="44"/>
        <v>88.009031249999992</v>
      </c>
      <c r="K576" s="5">
        <v>5.25</v>
      </c>
      <c r="L576" s="5">
        <v>68.5</v>
      </c>
      <c r="M576" s="5">
        <f t="shared" si="47"/>
        <v>31.872888888888891</v>
      </c>
      <c r="N576" s="5">
        <v>1.6970000000000001</v>
      </c>
      <c r="O576" s="5">
        <f t="shared" si="45"/>
        <v>780</v>
      </c>
      <c r="P576" s="5">
        <f t="shared" si="46"/>
        <v>90</v>
      </c>
      <c r="R576" s="5">
        <v>16.2</v>
      </c>
      <c r="S576" s="5">
        <v>32.954999999999998</v>
      </c>
      <c r="T576" s="5">
        <v>35.374000000000002</v>
      </c>
      <c r="U576" s="2">
        <v>0.4138</v>
      </c>
      <c r="V576" s="5">
        <v>78</v>
      </c>
      <c r="W576" s="5">
        <v>78</v>
      </c>
      <c r="AA576" s="2"/>
      <c r="AJ576" s="4"/>
      <c r="AR576" s="4"/>
    </row>
    <row r="577" spans="4:44">
      <c r="D577" s="5">
        <v>-12.725</v>
      </c>
      <c r="E577" s="5">
        <v>73.072499999999991</v>
      </c>
      <c r="F577" s="5">
        <v>27.998999999999999</v>
      </c>
      <c r="G577" s="2">
        <v>4.0097500000000004</v>
      </c>
      <c r="H577" s="5">
        <f t="shared" si="43"/>
        <v>88.068445312500003</v>
      </c>
      <c r="I577" s="5">
        <f t="shared" si="44"/>
        <v>88.068445312500003</v>
      </c>
      <c r="K577" s="5">
        <v>5.1749999999999998</v>
      </c>
      <c r="L577" s="5">
        <v>63.204999999999998</v>
      </c>
      <c r="M577" s="5">
        <f t="shared" si="47"/>
        <v>31.872888888888891</v>
      </c>
      <c r="N577" s="5">
        <v>1.6595000000000002</v>
      </c>
      <c r="O577" s="5">
        <f t="shared" si="45"/>
        <v>780</v>
      </c>
      <c r="P577" s="5">
        <f t="shared" si="46"/>
        <v>90</v>
      </c>
      <c r="R577" s="5">
        <v>15.75</v>
      </c>
      <c r="S577" s="5">
        <v>32.527499999999996</v>
      </c>
      <c r="T577" s="5">
        <v>35.374000000000002</v>
      </c>
      <c r="U577" s="2">
        <v>0.42575000000000002</v>
      </c>
      <c r="V577" s="5">
        <v>78</v>
      </c>
      <c r="W577" s="5">
        <v>78</v>
      </c>
      <c r="AA577" s="2"/>
      <c r="AJ577" s="4"/>
      <c r="AR577" s="4"/>
    </row>
    <row r="578" spans="4:44">
      <c r="D578" s="5">
        <v>-12.8</v>
      </c>
      <c r="E578" s="5">
        <v>71.08</v>
      </c>
      <c r="F578" s="5">
        <v>27.82</v>
      </c>
      <c r="G578" s="2">
        <v>4.0369999999999999</v>
      </c>
      <c r="H578" s="5">
        <f t="shared" si="43"/>
        <v>88.128</v>
      </c>
      <c r="I578" s="5">
        <f t="shared" si="44"/>
        <v>88.128</v>
      </c>
      <c r="K578" s="5">
        <v>5.0999999999999996</v>
      </c>
      <c r="L578" s="5">
        <v>57.910000000000004</v>
      </c>
      <c r="M578" s="5">
        <v>31.524000000000001</v>
      </c>
      <c r="N578" s="5">
        <v>1.6220000000000001</v>
      </c>
      <c r="O578" s="5">
        <f t="shared" si="45"/>
        <v>780</v>
      </c>
      <c r="P578" s="5">
        <f t="shared" si="46"/>
        <v>90</v>
      </c>
      <c r="R578" s="5">
        <v>15.3</v>
      </c>
      <c r="S578" s="5">
        <v>32.1</v>
      </c>
      <c r="T578" s="5">
        <v>36.21</v>
      </c>
      <c r="U578" s="2">
        <v>0.44900000000000001</v>
      </c>
      <c r="V578" s="5">
        <v>78</v>
      </c>
      <c r="W578" s="5">
        <v>78</v>
      </c>
      <c r="AA578" s="2"/>
      <c r="AJ578" s="4"/>
      <c r="AR578" s="4"/>
    </row>
    <row r="579" spans="4:44">
      <c r="D579" s="5">
        <v>-12.65</v>
      </c>
      <c r="E579" s="5">
        <v>68.477499999999992</v>
      </c>
      <c r="F579" s="5">
        <v>27.82</v>
      </c>
      <c r="G579" s="2">
        <v>4.0062499999999996</v>
      </c>
      <c r="H579" s="5">
        <f t="shared" ref="H579:H642" si="48">IF(D579&lt;0,0.0125*D579^2-0.475*D579+80,80)</f>
        <v>88.009031249999992</v>
      </c>
      <c r="I579" s="5">
        <f t="shared" ref="I579:I642" si="49">IF(H579&lt;90,H579,90)</f>
        <v>88.009031249999992</v>
      </c>
      <c r="K579" s="5">
        <v>5.0749999999999993</v>
      </c>
      <c r="L579" s="5">
        <v>56.172499999999999</v>
      </c>
      <c r="M579" s="5">
        <v>31.524000000000001</v>
      </c>
      <c r="N579" s="5">
        <v>1.6545000000000001</v>
      </c>
      <c r="O579" s="5">
        <f t="shared" ref="O579:O642" si="50">IF(K579&lt;0,0.0125*K579^2-0.475*K579+80,780)</f>
        <v>780</v>
      </c>
      <c r="P579" s="5">
        <f t="shared" ref="P579:P642" si="51">IF(O579&lt;90,O579,90)</f>
        <v>90</v>
      </c>
      <c r="R579" s="5">
        <v>15.074999999999999</v>
      </c>
      <c r="S579" s="5">
        <v>31.79</v>
      </c>
      <c r="T579" s="5">
        <v>36.21</v>
      </c>
      <c r="U579" s="2">
        <v>0.47050000000000003</v>
      </c>
      <c r="V579" s="5">
        <v>78</v>
      </c>
      <c r="W579" s="5">
        <v>78</v>
      </c>
      <c r="AA579" s="2"/>
      <c r="AJ579" s="4"/>
      <c r="AR579" s="4"/>
    </row>
    <row r="580" spans="4:44">
      <c r="D580" s="5">
        <v>-12.5</v>
      </c>
      <c r="E580" s="5">
        <v>65.875</v>
      </c>
      <c r="F580" s="5">
        <v>27.82</v>
      </c>
      <c r="G580" s="2">
        <v>3.9755000000000003</v>
      </c>
      <c r="H580" s="5">
        <f t="shared" si="48"/>
        <v>87.890625</v>
      </c>
      <c r="I580" s="5">
        <f t="shared" si="49"/>
        <v>87.890625</v>
      </c>
      <c r="K580" s="5">
        <v>5.05</v>
      </c>
      <c r="L580" s="5">
        <v>54.435000000000002</v>
      </c>
      <c r="M580" s="5">
        <v>31.524000000000001</v>
      </c>
      <c r="N580" s="5">
        <v>1.6870000000000001</v>
      </c>
      <c r="O580" s="5">
        <f t="shared" si="50"/>
        <v>780</v>
      </c>
      <c r="P580" s="5">
        <f t="shared" si="51"/>
        <v>90</v>
      </c>
      <c r="R580" s="5">
        <v>14.85</v>
      </c>
      <c r="S580" s="5">
        <v>31.48</v>
      </c>
      <c r="T580" s="5">
        <v>36.21</v>
      </c>
      <c r="U580" s="2">
        <v>0.49199999999999999</v>
      </c>
      <c r="V580" s="5">
        <v>78</v>
      </c>
      <c r="W580" s="5">
        <v>78</v>
      </c>
      <c r="AA580" s="2"/>
      <c r="AJ580" s="4"/>
      <c r="AR580" s="4"/>
    </row>
    <row r="581" spans="4:44">
      <c r="D581" s="5">
        <v>-12.35</v>
      </c>
      <c r="E581" s="5">
        <v>63.272500000000001</v>
      </c>
      <c r="F581" s="5">
        <v>27.82</v>
      </c>
      <c r="G581" s="2">
        <v>3.9447500000000004</v>
      </c>
      <c r="H581" s="5">
        <f t="shared" si="48"/>
        <v>87.772781249999994</v>
      </c>
      <c r="I581" s="5">
        <f t="shared" si="49"/>
        <v>87.772781249999994</v>
      </c>
      <c r="K581" s="5">
        <v>5.0250000000000004</v>
      </c>
      <c r="L581" s="5">
        <v>52.697500000000005</v>
      </c>
      <c r="M581" s="5">
        <v>31.524000000000001</v>
      </c>
      <c r="N581" s="5">
        <v>1.7195</v>
      </c>
      <c r="O581" s="5">
        <f t="shared" si="50"/>
        <v>780</v>
      </c>
      <c r="P581" s="5">
        <f t="shared" si="51"/>
        <v>90</v>
      </c>
      <c r="R581" s="5">
        <v>14.625</v>
      </c>
      <c r="S581" s="5">
        <v>31.17</v>
      </c>
      <c r="T581" s="5">
        <v>36.21</v>
      </c>
      <c r="U581" s="2">
        <v>0.51349999999999996</v>
      </c>
      <c r="V581" s="5">
        <v>78</v>
      </c>
      <c r="W581" s="5">
        <v>78</v>
      </c>
      <c r="AA581" s="2"/>
      <c r="AJ581" s="4"/>
      <c r="AR581" s="4"/>
    </row>
    <row r="582" spans="4:44">
      <c r="D582" s="5">
        <v>-12.2</v>
      </c>
      <c r="E582" s="5">
        <v>60.67</v>
      </c>
      <c r="F582" s="5">
        <v>27.82</v>
      </c>
      <c r="G582" s="2">
        <v>3.9140000000000001</v>
      </c>
      <c r="H582" s="5">
        <f t="shared" si="48"/>
        <v>87.655500000000004</v>
      </c>
      <c r="I582" s="5">
        <f t="shared" si="49"/>
        <v>87.655500000000004</v>
      </c>
      <c r="K582" s="5">
        <v>5</v>
      </c>
      <c r="L582" s="5">
        <v>50.96</v>
      </c>
      <c r="M582" s="5">
        <v>31.524000000000001</v>
      </c>
      <c r="N582" s="5">
        <v>1.752</v>
      </c>
      <c r="O582" s="5">
        <f t="shared" si="50"/>
        <v>780</v>
      </c>
      <c r="P582" s="5">
        <f t="shared" si="51"/>
        <v>90</v>
      </c>
      <c r="R582" s="5">
        <v>14.4</v>
      </c>
      <c r="S582" s="5">
        <v>30.86</v>
      </c>
      <c r="T582" s="5">
        <v>36.21</v>
      </c>
      <c r="U582" s="2">
        <v>0.53499999999999992</v>
      </c>
      <c r="V582" s="5">
        <v>78</v>
      </c>
      <c r="W582" s="5">
        <v>78</v>
      </c>
      <c r="AA582" s="2"/>
      <c r="AJ582" s="4"/>
      <c r="AR582" s="4"/>
    </row>
    <row r="583" spans="4:44">
      <c r="D583" s="5">
        <v>-12.1</v>
      </c>
      <c r="E583" s="5">
        <v>60.432499999999997</v>
      </c>
      <c r="F583" s="5">
        <v>27.82</v>
      </c>
      <c r="G583" s="2">
        <v>3.9012500000000001</v>
      </c>
      <c r="H583" s="5">
        <f t="shared" si="48"/>
        <v>87.577624999999998</v>
      </c>
      <c r="I583" s="5">
        <f t="shared" si="49"/>
        <v>87.577624999999998</v>
      </c>
      <c r="K583" s="5">
        <v>5</v>
      </c>
      <c r="L583" s="5">
        <v>50.447500000000012</v>
      </c>
      <c r="M583" s="5">
        <v>31.524000000000001</v>
      </c>
      <c r="N583" s="5">
        <v>1.72</v>
      </c>
      <c r="O583" s="5">
        <f t="shared" si="50"/>
        <v>780</v>
      </c>
      <c r="P583" s="5">
        <f t="shared" si="51"/>
        <v>90</v>
      </c>
      <c r="R583" s="5">
        <v>14.324999999999999</v>
      </c>
      <c r="S583" s="5">
        <v>30.734999999999999</v>
      </c>
      <c r="T583" s="5">
        <v>36.21</v>
      </c>
      <c r="U583" s="2">
        <v>0.505</v>
      </c>
      <c r="V583" s="5">
        <v>78</v>
      </c>
      <c r="W583" s="5">
        <v>78</v>
      </c>
      <c r="AA583" s="2"/>
      <c r="AJ583" s="4"/>
      <c r="AR583" s="4"/>
    </row>
    <row r="584" spans="4:44">
      <c r="D584" s="5">
        <v>-12</v>
      </c>
      <c r="E584" s="5">
        <v>60.195000000000007</v>
      </c>
      <c r="F584" s="5">
        <v>27.82</v>
      </c>
      <c r="G584" s="2">
        <v>3.8885000000000001</v>
      </c>
      <c r="H584" s="5">
        <f t="shared" si="48"/>
        <v>87.5</v>
      </c>
      <c r="I584" s="5">
        <f t="shared" si="49"/>
        <v>87.5</v>
      </c>
      <c r="K584" s="5">
        <v>5</v>
      </c>
      <c r="L584" s="5">
        <v>49.935000000000002</v>
      </c>
      <c r="M584" s="5">
        <v>31.524000000000001</v>
      </c>
      <c r="N584" s="5">
        <v>1.6879999999999999</v>
      </c>
      <c r="O584" s="5">
        <f t="shared" si="50"/>
        <v>780</v>
      </c>
      <c r="P584" s="5">
        <f t="shared" si="51"/>
        <v>90</v>
      </c>
      <c r="R584" s="5">
        <v>14.25</v>
      </c>
      <c r="S584" s="5">
        <v>30.61</v>
      </c>
      <c r="T584" s="5">
        <v>36.21</v>
      </c>
      <c r="U584" s="2">
        <v>0.47499999999999998</v>
      </c>
      <c r="V584" s="5">
        <v>78</v>
      </c>
      <c r="W584" s="5">
        <v>78</v>
      </c>
      <c r="AA584" s="2"/>
      <c r="AJ584" s="4"/>
      <c r="AR584" s="4"/>
    </row>
    <row r="585" spans="4:44">
      <c r="D585" s="5">
        <v>-11.9</v>
      </c>
      <c r="E585" s="5">
        <v>59.957500000000003</v>
      </c>
      <c r="F585" s="5">
        <v>27.82</v>
      </c>
      <c r="G585" s="2">
        <v>3.87575</v>
      </c>
      <c r="H585" s="5">
        <f t="shared" si="48"/>
        <v>87.422624999999996</v>
      </c>
      <c r="I585" s="5">
        <f t="shared" si="49"/>
        <v>87.422624999999996</v>
      </c>
      <c r="K585" s="5">
        <v>5</v>
      </c>
      <c r="L585" s="5">
        <v>49.422499999999999</v>
      </c>
      <c r="M585" s="5">
        <v>31.524000000000001</v>
      </c>
      <c r="N585" s="5">
        <v>1.6560000000000001</v>
      </c>
      <c r="O585" s="5">
        <f t="shared" si="50"/>
        <v>780</v>
      </c>
      <c r="P585" s="5">
        <f t="shared" si="51"/>
        <v>90</v>
      </c>
      <c r="R585" s="5">
        <v>14.175000000000001</v>
      </c>
      <c r="S585" s="5">
        <v>30.485000000000003</v>
      </c>
      <c r="T585" s="5">
        <v>36.21</v>
      </c>
      <c r="U585" s="2">
        <v>0.44499999999999995</v>
      </c>
      <c r="V585" s="5">
        <v>78</v>
      </c>
      <c r="W585" s="5">
        <v>78</v>
      </c>
      <c r="AA585" s="2"/>
      <c r="AJ585" s="4"/>
      <c r="AR585" s="4"/>
    </row>
    <row r="586" spans="4:44">
      <c r="D586" s="5">
        <v>-11.8</v>
      </c>
      <c r="E586" s="5">
        <v>59.720000000000006</v>
      </c>
      <c r="F586" s="5">
        <v>27.82</v>
      </c>
      <c r="G586" s="2">
        <v>3.863</v>
      </c>
      <c r="H586" s="5">
        <f t="shared" si="48"/>
        <v>87.345500000000001</v>
      </c>
      <c r="I586" s="5">
        <f t="shared" si="49"/>
        <v>87.345500000000001</v>
      </c>
      <c r="K586" s="5">
        <v>5</v>
      </c>
      <c r="L586" s="5">
        <v>48.91</v>
      </c>
      <c r="M586" s="5">
        <v>31.524000000000001</v>
      </c>
      <c r="N586" s="5">
        <v>1.6240000000000001</v>
      </c>
      <c r="O586" s="5">
        <f t="shared" si="50"/>
        <v>780</v>
      </c>
      <c r="P586" s="5">
        <f t="shared" si="51"/>
        <v>90</v>
      </c>
      <c r="R586" s="5">
        <v>14.1</v>
      </c>
      <c r="S586" s="5">
        <v>30.36</v>
      </c>
      <c r="T586" s="5">
        <v>36.21</v>
      </c>
      <c r="U586" s="2">
        <v>0.41589999999999999</v>
      </c>
      <c r="V586" s="5">
        <v>78</v>
      </c>
      <c r="W586" s="5">
        <v>78</v>
      </c>
      <c r="AA586" s="2"/>
      <c r="AJ586" s="4"/>
      <c r="AR586" s="4"/>
    </row>
    <row r="587" spans="4:44">
      <c r="D587" s="5">
        <v>-11.775</v>
      </c>
      <c r="E587" s="5">
        <v>58.900000000000006</v>
      </c>
      <c r="F587" s="5">
        <v>27.82</v>
      </c>
      <c r="G587" s="2">
        <v>3.8382499999999999</v>
      </c>
      <c r="H587" s="5">
        <f t="shared" si="48"/>
        <v>87.326257812500003</v>
      </c>
      <c r="I587" s="5">
        <f t="shared" si="49"/>
        <v>87.326257812500003</v>
      </c>
      <c r="K587" s="5">
        <v>5</v>
      </c>
      <c r="L587" s="5">
        <v>48.475000000000001</v>
      </c>
      <c r="M587" s="5">
        <v>31.524000000000001</v>
      </c>
      <c r="N587" s="5">
        <v>1.6517500000000001</v>
      </c>
      <c r="O587" s="5">
        <f t="shared" si="50"/>
        <v>780</v>
      </c>
      <c r="P587" s="5">
        <f t="shared" si="51"/>
        <v>90</v>
      </c>
      <c r="R587" s="5">
        <v>14.025</v>
      </c>
      <c r="S587" s="5">
        <v>30.327500000000001</v>
      </c>
      <c r="T587" s="5">
        <v>36.21</v>
      </c>
      <c r="U587" s="2">
        <v>0.43974999999999997</v>
      </c>
      <c r="V587" s="5">
        <v>78</v>
      </c>
      <c r="W587" s="5">
        <v>78</v>
      </c>
      <c r="AA587" s="2"/>
      <c r="AJ587" s="4"/>
      <c r="AR587" s="4"/>
    </row>
    <row r="588" spans="4:44">
      <c r="D588" s="5">
        <v>-11.75</v>
      </c>
      <c r="E588" s="5">
        <v>58.08</v>
      </c>
      <c r="F588" s="5">
        <v>27.82</v>
      </c>
      <c r="G588" s="2">
        <v>3.8134999999999999</v>
      </c>
      <c r="H588" s="5">
        <f t="shared" si="48"/>
        <v>87.307031249999994</v>
      </c>
      <c r="I588" s="5">
        <f t="shared" si="49"/>
        <v>87.307031249999994</v>
      </c>
      <c r="K588" s="5">
        <v>5</v>
      </c>
      <c r="L588" s="5">
        <v>48.040000000000006</v>
      </c>
      <c r="M588" s="5">
        <v>31.524000000000001</v>
      </c>
      <c r="N588" s="5">
        <v>1.6795000000000002</v>
      </c>
      <c r="O588" s="5">
        <f t="shared" si="50"/>
        <v>780</v>
      </c>
      <c r="P588" s="5">
        <f t="shared" si="51"/>
        <v>90</v>
      </c>
      <c r="R588" s="5">
        <v>13.95</v>
      </c>
      <c r="S588" s="5">
        <v>30.295000000000002</v>
      </c>
      <c r="T588" s="5">
        <v>36.21</v>
      </c>
      <c r="U588" s="2">
        <v>0.46450000000000002</v>
      </c>
      <c r="V588" s="5">
        <v>78</v>
      </c>
      <c r="W588" s="5">
        <v>78</v>
      </c>
      <c r="AA588" s="2"/>
      <c r="AJ588" s="4"/>
      <c r="AR588" s="4"/>
    </row>
    <row r="589" spans="4:44">
      <c r="D589" s="5">
        <v>-11.725</v>
      </c>
      <c r="E589" s="5">
        <v>57.26</v>
      </c>
      <c r="F589" s="5">
        <v>27.82</v>
      </c>
      <c r="G589" s="2">
        <v>3.7887500000000003</v>
      </c>
      <c r="H589" s="5">
        <f t="shared" si="48"/>
        <v>87.287820312500003</v>
      </c>
      <c r="I589" s="5">
        <f t="shared" si="49"/>
        <v>87.287820312500003</v>
      </c>
      <c r="K589" s="5">
        <v>5</v>
      </c>
      <c r="L589" s="5">
        <v>47.605000000000004</v>
      </c>
      <c r="M589" s="5">
        <v>31.524000000000001</v>
      </c>
      <c r="N589" s="5">
        <v>1.7072500000000002</v>
      </c>
      <c r="O589" s="5">
        <f t="shared" si="50"/>
        <v>780</v>
      </c>
      <c r="P589" s="5">
        <f t="shared" si="51"/>
        <v>90</v>
      </c>
      <c r="R589" s="5">
        <v>13.875</v>
      </c>
      <c r="S589" s="5">
        <v>30.262500000000003</v>
      </c>
      <c r="T589" s="5">
        <v>36.21</v>
      </c>
      <c r="U589" s="2">
        <v>0.48925000000000002</v>
      </c>
      <c r="V589" s="5">
        <v>78</v>
      </c>
      <c r="W589" s="5">
        <v>78</v>
      </c>
      <c r="AA589" s="2"/>
      <c r="AJ589" s="4"/>
      <c r="AR589" s="4"/>
    </row>
    <row r="590" spans="4:44">
      <c r="D590" s="5">
        <v>-11.7</v>
      </c>
      <c r="E590" s="5">
        <v>56.44</v>
      </c>
      <c r="F590" s="5">
        <v>27.82</v>
      </c>
      <c r="G590" s="2">
        <v>3.7640000000000002</v>
      </c>
      <c r="H590" s="5">
        <f t="shared" si="48"/>
        <v>87.268625</v>
      </c>
      <c r="I590" s="5">
        <f t="shared" si="49"/>
        <v>87.268625</v>
      </c>
      <c r="K590" s="5">
        <v>5</v>
      </c>
      <c r="L590" s="5">
        <v>47.169999999999995</v>
      </c>
      <c r="M590" s="5">
        <v>31.524000000000001</v>
      </c>
      <c r="N590" s="5">
        <v>1.7350000000000001</v>
      </c>
      <c r="O590" s="5">
        <f t="shared" si="50"/>
        <v>780</v>
      </c>
      <c r="P590" s="5">
        <f t="shared" si="51"/>
        <v>90</v>
      </c>
      <c r="R590" s="5">
        <v>13.8</v>
      </c>
      <c r="S590" s="5">
        <v>30.23</v>
      </c>
      <c r="T590" s="5">
        <v>36.21</v>
      </c>
      <c r="U590" s="2">
        <v>0.51400000000000001</v>
      </c>
      <c r="V590" s="5">
        <v>78</v>
      </c>
      <c r="W590" s="5">
        <v>78</v>
      </c>
      <c r="AA590" s="2"/>
      <c r="AJ590" s="4"/>
      <c r="AR590" s="4"/>
    </row>
    <row r="591" spans="4:44">
      <c r="D591" s="5">
        <v>-11.7</v>
      </c>
      <c r="E591" s="5">
        <v>55.935000000000002</v>
      </c>
      <c r="F591" s="5">
        <v>27.82</v>
      </c>
      <c r="G591" s="2">
        <v>3.806</v>
      </c>
      <c r="H591" s="5">
        <f t="shared" si="48"/>
        <v>87.268625</v>
      </c>
      <c r="I591" s="5">
        <f t="shared" si="49"/>
        <v>87.268625</v>
      </c>
      <c r="K591" s="5">
        <v>4.95</v>
      </c>
      <c r="L591" s="5">
        <v>46.984999999999992</v>
      </c>
      <c r="M591" s="5">
        <v>31.524000000000001</v>
      </c>
      <c r="N591" s="5">
        <v>1.59375</v>
      </c>
      <c r="O591" s="5">
        <f t="shared" si="50"/>
        <v>780</v>
      </c>
      <c r="P591" s="5">
        <f t="shared" si="51"/>
        <v>90</v>
      </c>
      <c r="R591" s="5">
        <v>13.8</v>
      </c>
      <c r="S591" s="5">
        <v>30.272500000000001</v>
      </c>
      <c r="T591" s="5">
        <v>36.21</v>
      </c>
      <c r="U591" s="2">
        <v>0.49</v>
      </c>
      <c r="V591" s="5">
        <v>78</v>
      </c>
      <c r="W591" s="5">
        <v>78</v>
      </c>
      <c r="AA591" s="2"/>
      <c r="AJ591" s="4"/>
      <c r="AR591" s="4"/>
    </row>
    <row r="592" spans="4:44">
      <c r="D592" s="5">
        <v>-11.7</v>
      </c>
      <c r="E592" s="5">
        <v>55.43</v>
      </c>
      <c r="F592" s="5">
        <v>27.82</v>
      </c>
      <c r="G592" s="2">
        <v>3.8480000000000003</v>
      </c>
      <c r="H592" s="5">
        <f t="shared" si="48"/>
        <v>87.268625</v>
      </c>
      <c r="I592" s="5">
        <f t="shared" si="49"/>
        <v>87.268625</v>
      </c>
      <c r="K592" s="5">
        <v>4.9000000000000004</v>
      </c>
      <c r="L592" s="5">
        <v>46.8</v>
      </c>
      <c r="M592" s="5">
        <v>31.524000000000001</v>
      </c>
      <c r="N592" s="5">
        <v>1.4525000000000001</v>
      </c>
      <c r="O592" s="5">
        <f t="shared" si="50"/>
        <v>780</v>
      </c>
      <c r="P592" s="5">
        <f t="shared" si="51"/>
        <v>90</v>
      </c>
      <c r="R592" s="5">
        <v>13.8</v>
      </c>
      <c r="S592" s="5">
        <v>30.314999999999998</v>
      </c>
      <c r="T592" s="5">
        <v>36.21</v>
      </c>
      <c r="U592" s="2">
        <v>0.46599999999999997</v>
      </c>
      <c r="V592" s="5">
        <v>78</v>
      </c>
      <c r="W592" s="5">
        <v>78</v>
      </c>
      <c r="AA592" s="2"/>
      <c r="AJ592" s="4"/>
      <c r="AR592" s="4"/>
    </row>
    <row r="593" spans="4:44">
      <c r="D593" s="5">
        <v>-11.7</v>
      </c>
      <c r="E593" s="5">
        <v>54.924999999999997</v>
      </c>
      <c r="F593" s="5">
        <v>27.82</v>
      </c>
      <c r="G593" s="2">
        <v>3.89</v>
      </c>
      <c r="H593" s="5">
        <f t="shared" si="48"/>
        <v>87.268625</v>
      </c>
      <c r="I593" s="5">
        <f t="shared" si="49"/>
        <v>87.268625</v>
      </c>
      <c r="K593" s="5">
        <v>4.8499999999999996</v>
      </c>
      <c r="L593" s="5">
        <v>46.615000000000002</v>
      </c>
      <c r="M593" s="5">
        <v>31.524000000000001</v>
      </c>
      <c r="N593" s="5">
        <v>1.31125</v>
      </c>
      <c r="O593" s="5">
        <f t="shared" si="50"/>
        <v>780</v>
      </c>
      <c r="P593" s="5">
        <f t="shared" si="51"/>
        <v>90</v>
      </c>
      <c r="R593" s="5">
        <v>13.8</v>
      </c>
      <c r="S593" s="5">
        <v>30.357500000000002</v>
      </c>
      <c r="T593" s="5">
        <v>36.21</v>
      </c>
      <c r="U593" s="2">
        <v>0.442</v>
      </c>
      <c r="V593" s="5">
        <v>78</v>
      </c>
      <c r="W593" s="5">
        <v>78</v>
      </c>
      <c r="AA593" s="2"/>
      <c r="AJ593" s="4"/>
      <c r="AR593" s="4"/>
    </row>
    <row r="594" spans="4:44">
      <c r="D594" s="5">
        <v>-11.7</v>
      </c>
      <c r="E594" s="5">
        <v>54.42</v>
      </c>
      <c r="F594" s="5">
        <v>27.82</v>
      </c>
      <c r="G594" s="2">
        <v>3.9319999999999999</v>
      </c>
      <c r="H594" s="5">
        <f t="shared" si="48"/>
        <v>87.268625</v>
      </c>
      <c r="I594" s="5">
        <f t="shared" si="49"/>
        <v>87.268625</v>
      </c>
      <c r="K594" s="5">
        <v>4.8</v>
      </c>
      <c r="L594" s="5">
        <v>46.43</v>
      </c>
      <c r="M594" s="5">
        <v>31.524000000000001</v>
      </c>
      <c r="N594" s="5">
        <v>1.17</v>
      </c>
      <c r="O594" s="5">
        <f t="shared" si="50"/>
        <v>780</v>
      </c>
      <c r="P594" s="5">
        <f t="shared" si="51"/>
        <v>90</v>
      </c>
      <c r="R594" s="5">
        <v>13.8</v>
      </c>
      <c r="S594" s="5">
        <v>30.4</v>
      </c>
      <c r="T594" s="5">
        <v>36.21</v>
      </c>
      <c r="U594" s="2">
        <v>0.41620000000000001</v>
      </c>
      <c r="V594" s="5">
        <v>78</v>
      </c>
      <c r="W594" s="5">
        <v>78</v>
      </c>
      <c r="AA594" s="2"/>
      <c r="AJ594" s="4"/>
      <c r="AR594" s="4"/>
    </row>
    <row r="595" spans="4:44">
      <c r="D595" s="5">
        <v>-11.6</v>
      </c>
      <c r="E595" s="5">
        <v>54.497500000000002</v>
      </c>
      <c r="F595" s="5">
        <v>27.82</v>
      </c>
      <c r="G595" s="2">
        <v>3.9034999999999997</v>
      </c>
      <c r="H595" s="5">
        <f t="shared" si="48"/>
        <v>87.192000000000007</v>
      </c>
      <c r="I595" s="5">
        <f t="shared" si="49"/>
        <v>87.192000000000007</v>
      </c>
      <c r="K595" s="5">
        <v>4.75</v>
      </c>
      <c r="L595" s="5">
        <v>46.617499999999993</v>
      </c>
      <c r="M595" s="5">
        <v>31.524000000000001</v>
      </c>
      <c r="N595" s="5">
        <v>1.3220000000000001</v>
      </c>
      <c r="O595" s="5">
        <f t="shared" si="50"/>
        <v>780</v>
      </c>
      <c r="P595" s="5">
        <f t="shared" si="51"/>
        <v>90</v>
      </c>
      <c r="R595" s="5">
        <v>13.85</v>
      </c>
      <c r="S595" s="5">
        <v>30.482499999999998</v>
      </c>
      <c r="T595" s="5">
        <v>36.21</v>
      </c>
      <c r="U595" s="2">
        <v>0.41615000000000002</v>
      </c>
      <c r="V595" s="5">
        <v>78</v>
      </c>
      <c r="W595" s="5">
        <v>78</v>
      </c>
      <c r="AA595" s="2"/>
      <c r="AJ595" s="4"/>
      <c r="AR595" s="4"/>
    </row>
    <row r="596" spans="4:44">
      <c r="D596" s="5">
        <v>-11.5</v>
      </c>
      <c r="E596" s="5">
        <v>54.574999999999996</v>
      </c>
      <c r="F596" s="5">
        <v>27.82</v>
      </c>
      <c r="G596" s="2">
        <v>3.875</v>
      </c>
      <c r="H596" s="5">
        <f t="shared" si="48"/>
        <v>87.115624999999994</v>
      </c>
      <c r="I596" s="5">
        <f t="shared" si="49"/>
        <v>87.115624999999994</v>
      </c>
      <c r="K596" s="5">
        <v>4.6999999999999993</v>
      </c>
      <c r="L596" s="5">
        <v>46.805000000000007</v>
      </c>
      <c r="M596" s="5">
        <v>31.524000000000001</v>
      </c>
      <c r="N596" s="5">
        <v>1.474</v>
      </c>
      <c r="O596" s="5">
        <f t="shared" si="50"/>
        <v>780</v>
      </c>
      <c r="P596" s="5">
        <f t="shared" si="51"/>
        <v>90</v>
      </c>
      <c r="R596" s="5">
        <v>13.9</v>
      </c>
      <c r="S596" s="5">
        <v>30.565000000000001</v>
      </c>
      <c r="T596" s="5">
        <v>36.21</v>
      </c>
      <c r="U596" s="2">
        <v>0.41609999999999997</v>
      </c>
      <c r="V596" s="5">
        <v>78</v>
      </c>
      <c r="W596" s="5">
        <v>78</v>
      </c>
      <c r="AA596" s="2"/>
      <c r="AJ596" s="4"/>
      <c r="AR596" s="4"/>
    </row>
    <row r="597" spans="4:44">
      <c r="D597" s="5">
        <v>-11.4</v>
      </c>
      <c r="E597" s="5">
        <v>54.652500000000003</v>
      </c>
      <c r="F597" s="5">
        <v>27.82</v>
      </c>
      <c r="G597" s="2">
        <v>3.8465000000000003</v>
      </c>
      <c r="H597" s="5">
        <f t="shared" si="48"/>
        <v>87.039500000000004</v>
      </c>
      <c r="I597" s="5">
        <f t="shared" si="49"/>
        <v>87.039500000000004</v>
      </c>
      <c r="K597" s="5">
        <v>4.6499999999999986</v>
      </c>
      <c r="L597" s="5">
        <v>46.9925</v>
      </c>
      <c r="M597" s="5">
        <v>31.524000000000001</v>
      </c>
      <c r="N597" s="5">
        <v>1.6260000000000001</v>
      </c>
      <c r="O597" s="5">
        <f t="shared" si="50"/>
        <v>780</v>
      </c>
      <c r="P597" s="5">
        <f t="shared" si="51"/>
        <v>90</v>
      </c>
      <c r="R597" s="5">
        <v>13.95</v>
      </c>
      <c r="S597" s="5">
        <v>30.647500000000001</v>
      </c>
      <c r="T597" s="5">
        <v>36.21</v>
      </c>
      <c r="U597" s="2">
        <v>0.41604999999999998</v>
      </c>
      <c r="V597" s="5">
        <v>78</v>
      </c>
      <c r="W597" s="5">
        <v>78</v>
      </c>
      <c r="AA597" s="2"/>
      <c r="AJ597" s="4"/>
      <c r="AR597" s="4"/>
    </row>
    <row r="598" spans="4:44">
      <c r="D598" s="5">
        <v>-11.3</v>
      </c>
      <c r="E598" s="5">
        <v>54.73</v>
      </c>
      <c r="F598" s="5">
        <v>27.82</v>
      </c>
      <c r="G598" s="2">
        <v>3.8180000000000001</v>
      </c>
      <c r="H598" s="5">
        <f t="shared" si="48"/>
        <v>86.963625000000008</v>
      </c>
      <c r="I598" s="5">
        <f t="shared" si="49"/>
        <v>86.963625000000008</v>
      </c>
      <c r="K598" s="5">
        <v>4.5999999999999996</v>
      </c>
      <c r="L598" s="5">
        <v>47.18</v>
      </c>
      <c r="M598" s="5">
        <v>31.524000000000001</v>
      </c>
      <c r="N598" s="5">
        <v>1.778</v>
      </c>
      <c r="O598" s="5">
        <f t="shared" si="50"/>
        <v>780</v>
      </c>
      <c r="P598" s="5">
        <f t="shared" si="51"/>
        <v>90</v>
      </c>
      <c r="R598" s="5">
        <v>14</v>
      </c>
      <c r="S598" s="5">
        <v>30.73</v>
      </c>
      <c r="T598" s="5">
        <v>36.21</v>
      </c>
      <c r="U598" s="2">
        <v>0.41599999999999998</v>
      </c>
      <c r="V598" s="5">
        <v>78</v>
      </c>
      <c r="W598" s="5">
        <v>78</v>
      </c>
      <c r="AA598" s="2"/>
      <c r="AJ598" s="4"/>
      <c r="AR598" s="4"/>
    </row>
    <row r="599" spans="4:44">
      <c r="D599" s="5">
        <v>-11.3</v>
      </c>
      <c r="E599" s="5">
        <v>56.259999999999984</v>
      </c>
      <c r="F599" s="5">
        <v>27.82</v>
      </c>
      <c r="G599" s="2">
        <v>3.8382499999999999</v>
      </c>
      <c r="H599" s="5">
        <f t="shared" si="48"/>
        <v>86.963625000000008</v>
      </c>
      <c r="I599" s="5">
        <f t="shared" si="49"/>
        <v>86.963625000000008</v>
      </c>
      <c r="K599" s="5">
        <v>4.55</v>
      </c>
      <c r="L599" s="5">
        <v>47.757500000000007</v>
      </c>
      <c r="M599" s="5">
        <v>31.524000000000001</v>
      </c>
      <c r="N599" s="5">
        <v>1.7877500000000002</v>
      </c>
      <c r="O599" s="5">
        <f t="shared" si="50"/>
        <v>780</v>
      </c>
      <c r="P599" s="5">
        <f t="shared" si="51"/>
        <v>90</v>
      </c>
      <c r="R599" s="5">
        <v>14.025</v>
      </c>
      <c r="S599" s="5">
        <v>30.977499999999999</v>
      </c>
      <c r="T599" s="5">
        <v>36.21</v>
      </c>
      <c r="U599" s="2">
        <v>0.42549999999999999</v>
      </c>
      <c r="V599" s="5">
        <v>78</v>
      </c>
      <c r="W599" s="5">
        <v>78</v>
      </c>
      <c r="AA599" s="2"/>
      <c r="AJ599" s="4"/>
      <c r="AR599" s="4"/>
    </row>
    <row r="600" spans="4:44">
      <c r="D600" s="5">
        <v>-11.3</v>
      </c>
      <c r="E600" s="5">
        <v>57.79</v>
      </c>
      <c r="F600" s="5">
        <v>27.82</v>
      </c>
      <c r="G600" s="2">
        <v>3.8584999999999998</v>
      </c>
      <c r="H600" s="5">
        <f t="shared" si="48"/>
        <v>86.963625000000008</v>
      </c>
      <c r="I600" s="5">
        <f t="shared" si="49"/>
        <v>86.963625000000008</v>
      </c>
      <c r="K600" s="5">
        <v>4.5</v>
      </c>
      <c r="L600" s="5">
        <v>48.335000000000001</v>
      </c>
      <c r="M600" s="5">
        <v>31.524000000000001</v>
      </c>
      <c r="N600" s="5">
        <v>1.7975000000000001</v>
      </c>
      <c r="O600" s="5">
        <f t="shared" si="50"/>
        <v>780</v>
      </c>
      <c r="P600" s="5">
        <f t="shared" si="51"/>
        <v>90</v>
      </c>
      <c r="R600" s="5">
        <v>14.05</v>
      </c>
      <c r="S600" s="5">
        <v>31.225000000000001</v>
      </c>
      <c r="T600" s="5">
        <v>36.21</v>
      </c>
      <c r="U600" s="2">
        <v>0.45700000000000002</v>
      </c>
      <c r="V600" s="5">
        <v>78</v>
      </c>
      <c r="W600" s="5">
        <v>78</v>
      </c>
      <c r="AA600" s="2"/>
      <c r="AJ600" s="4"/>
      <c r="AR600" s="4"/>
    </row>
    <row r="601" spans="4:44">
      <c r="D601" s="5">
        <v>-11.3</v>
      </c>
      <c r="E601" s="5">
        <v>59.320000000000007</v>
      </c>
      <c r="F601" s="5">
        <v>27.82</v>
      </c>
      <c r="G601" s="2">
        <v>3.8787500000000001</v>
      </c>
      <c r="H601" s="5">
        <f t="shared" si="48"/>
        <v>86.963625000000008</v>
      </c>
      <c r="I601" s="5">
        <f t="shared" si="49"/>
        <v>86.963625000000008</v>
      </c>
      <c r="K601" s="5">
        <v>4.45</v>
      </c>
      <c r="L601" s="5">
        <v>48.912499999999994</v>
      </c>
      <c r="M601" s="5">
        <v>31.524000000000001</v>
      </c>
      <c r="N601" s="5">
        <v>1.80725</v>
      </c>
      <c r="O601" s="5">
        <f t="shared" si="50"/>
        <v>780</v>
      </c>
      <c r="P601" s="5">
        <f t="shared" si="51"/>
        <v>90</v>
      </c>
      <c r="R601" s="5">
        <v>14.074999999999999</v>
      </c>
      <c r="S601" s="5">
        <v>31.4725</v>
      </c>
      <c r="T601" s="5">
        <v>36.21</v>
      </c>
      <c r="U601" s="2">
        <v>0.48850000000000005</v>
      </c>
      <c r="V601" s="5">
        <v>78</v>
      </c>
      <c r="W601" s="5">
        <v>78</v>
      </c>
      <c r="AA601" s="2"/>
      <c r="AJ601" s="4"/>
      <c r="AR601" s="4"/>
    </row>
    <row r="602" spans="4:44">
      <c r="D602" s="5">
        <v>-11.3</v>
      </c>
      <c r="E602" s="5">
        <v>60.85</v>
      </c>
      <c r="F602" s="5">
        <v>27.82</v>
      </c>
      <c r="G602" s="2">
        <v>3.899</v>
      </c>
      <c r="H602" s="5">
        <f t="shared" si="48"/>
        <v>86.963625000000008</v>
      </c>
      <c r="I602" s="5">
        <f t="shared" si="49"/>
        <v>86.963625000000008</v>
      </c>
      <c r="K602" s="5">
        <v>4.4000000000000004</v>
      </c>
      <c r="L602" s="5">
        <v>49.489999999999995</v>
      </c>
      <c r="M602" s="5">
        <v>31.524000000000001</v>
      </c>
      <c r="N602" s="5">
        <v>1.8170000000000002</v>
      </c>
      <c r="O602" s="5">
        <f t="shared" si="50"/>
        <v>780</v>
      </c>
      <c r="P602" s="5">
        <f t="shared" si="51"/>
        <v>90</v>
      </c>
      <c r="R602" s="5">
        <v>14.1</v>
      </c>
      <c r="S602" s="5">
        <v>31.720000000000002</v>
      </c>
      <c r="T602" s="5">
        <v>36.21</v>
      </c>
      <c r="U602" s="2">
        <v>0.52</v>
      </c>
      <c r="V602" s="5">
        <v>78</v>
      </c>
      <c r="W602" s="5">
        <v>78</v>
      </c>
      <c r="AA602" s="2"/>
      <c r="AJ602" s="4"/>
      <c r="AR602" s="4"/>
    </row>
    <row r="603" spans="4:44">
      <c r="D603" s="5">
        <v>-11.324999999999999</v>
      </c>
      <c r="E603" s="5">
        <v>60.585000000000008</v>
      </c>
      <c r="F603" s="5">
        <v>27.82</v>
      </c>
      <c r="G603" s="2">
        <v>3.9715000000000003</v>
      </c>
      <c r="H603" s="5">
        <f t="shared" si="48"/>
        <v>86.982570312500002</v>
      </c>
      <c r="I603" s="5">
        <f t="shared" si="49"/>
        <v>86.982570312500002</v>
      </c>
      <c r="K603" s="5">
        <v>4.5250000000000004</v>
      </c>
      <c r="L603" s="5">
        <v>55.715000000000003</v>
      </c>
      <c r="M603" s="5">
        <v>31.524000000000001</v>
      </c>
      <c r="N603" s="5">
        <v>1.8182500000000001</v>
      </c>
      <c r="O603" s="5">
        <f t="shared" si="50"/>
        <v>780</v>
      </c>
      <c r="P603" s="5">
        <f t="shared" si="51"/>
        <v>90</v>
      </c>
      <c r="R603" s="5">
        <v>14.4</v>
      </c>
      <c r="S603" s="5">
        <v>32.237499999999997</v>
      </c>
      <c r="T603" s="5">
        <v>36.21</v>
      </c>
      <c r="U603" s="2">
        <v>0.47850000000000004</v>
      </c>
      <c r="V603" s="5">
        <v>78</v>
      </c>
      <c r="W603" s="5">
        <v>78</v>
      </c>
      <c r="AA603" s="2"/>
      <c r="AJ603" s="4"/>
      <c r="AR603" s="4"/>
    </row>
    <row r="604" spans="4:44">
      <c r="D604" s="5">
        <v>-11.35</v>
      </c>
      <c r="E604" s="5">
        <v>60.32</v>
      </c>
      <c r="F604" s="5">
        <v>27.82</v>
      </c>
      <c r="G604" s="2">
        <v>4.0439999999999996</v>
      </c>
      <c r="H604" s="5">
        <f t="shared" si="48"/>
        <v>87.001531249999999</v>
      </c>
      <c r="I604" s="5">
        <f t="shared" si="49"/>
        <v>87.001531249999999</v>
      </c>
      <c r="K604" s="5">
        <v>4.6500000000000004</v>
      </c>
      <c r="L604" s="5">
        <v>61.94</v>
      </c>
      <c r="M604" s="5">
        <v>31.524000000000001</v>
      </c>
      <c r="N604" s="5">
        <v>1.8195000000000001</v>
      </c>
      <c r="O604" s="5">
        <f t="shared" si="50"/>
        <v>780</v>
      </c>
      <c r="P604" s="5">
        <f t="shared" si="51"/>
        <v>90</v>
      </c>
      <c r="R604" s="5">
        <v>14.7</v>
      </c>
      <c r="S604" s="5">
        <v>32.755000000000003</v>
      </c>
      <c r="T604" s="5">
        <v>36.21</v>
      </c>
      <c r="U604" s="2">
        <v>0.437</v>
      </c>
      <c r="V604" s="5">
        <v>78</v>
      </c>
      <c r="W604" s="5">
        <v>78</v>
      </c>
      <c r="AA604" s="2"/>
      <c r="AJ604" s="4"/>
      <c r="AR604" s="4"/>
    </row>
    <row r="605" spans="4:44">
      <c r="D605" s="5">
        <v>-11.375</v>
      </c>
      <c r="E605" s="5">
        <v>60.054999999999993</v>
      </c>
      <c r="F605" s="5">
        <v>27.82</v>
      </c>
      <c r="G605" s="2">
        <v>4.1164999999999994</v>
      </c>
      <c r="H605" s="5">
        <f t="shared" si="48"/>
        <v>87.0205078125</v>
      </c>
      <c r="I605" s="5">
        <f t="shared" si="49"/>
        <v>87.0205078125</v>
      </c>
      <c r="K605" s="5">
        <v>4.7750000000000004</v>
      </c>
      <c r="L605" s="5">
        <v>68.164999999999992</v>
      </c>
      <c r="M605" s="5">
        <v>31.524000000000001</v>
      </c>
      <c r="N605" s="5">
        <v>1.8207500000000001</v>
      </c>
      <c r="O605" s="5">
        <f t="shared" si="50"/>
        <v>780</v>
      </c>
      <c r="P605" s="5">
        <f t="shared" si="51"/>
        <v>90</v>
      </c>
      <c r="R605" s="5">
        <v>15</v>
      </c>
      <c r="S605" s="5">
        <v>33.272500000000001</v>
      </c>
      <c r="T605" s="5">
        <v>36.21</v>
      </c>
      <c r="U605" s="2">
        <v>0.41499999999999998</v>
      </c>
      <c r="V605" s="5">
        <v>78</v>
      </c>
      <c r="W605" s="5">
        <v>78</v>
      </c>
      <c r="AA605" s="2"/>
      <c r="AJ605" s="4"/>
      <c r="AR605" s="4"/>
    </row>
    <row r="606" spans="4:44">
      <c r="D606" s="5">
        <v>-11.4</v>
      </c>
      <c r="E606" s="5">
        <v>59.79</v>
      </c>
      <c r="F606" s="5">
        <v>27.82</v>
      </c>
      <c r="G606" s="2">
        <v>4.1890000000000001</v>
      </c>
      <c r="H606" s="5">
        <f t="shared" si="48"/>
        <v>87.039500000000004</v>
      </c>
      <c r="I606" s="5">
        <f t="shared" si="49"/>
        <v>87.039500000000004</v>
      </c>
      <c r="K606" s="5">
        <v>4.9000000000000004</v>
      </c>
      <c r="L606" s="5">
        <v>74.39</v>
      </c>
      <c r="M606" s="5">
        <v>31.524000000000001</v>
      </c>
      <c r="N606" s="5">
        <v>1.8220000000000001</v>
      </c>
      <c r="O606" s="5">
        <f t="shared" si="50"/>
        <v>780</v>
      </c>
      <c r="P606" s="5">
        <f t="shared" si="51"/>
        <v>90</v>
      </c>
      <c r="R606" s="5">
        <v>15.3</v>
      </c>
      <c r="S606" s="5">
        <v>33.79</v>
      </c>
      <c r="T606" s="5">
        <v>36.21</v>
      </c>
      <c r="U606" s="2">
        <v>0.41470000000000001</v>
      </c>
      <c r="V606" s="5">
        <v>78</v>
      </c>
      <c r="W606" s="5">
        <v>78</v>
      </c>
      <c r="AA606" s="2"/>
      <c r="AJ606" s="4"/>
      <c r="AR606" s="4"/>
    </row>
    <row r="607" spans="4:44">
      <c r="D607" s="5">
        <v>-11.25</v>
      </c>
      <c r="E607" s="5">
        <v>59.837500000000006</v>
      </c>
      <c r="F607" s="5">
        <v>27.82</v>
      </c>
      <c r="G607" s="2">
        <v>4.2649999999999997</v>
      </c>
      <c r="H607" s="5">
        <f t="shared" si="48"/>
        <v>86.92578125</v>
      </c>
      <c r="I607" s="5">
        <f t="shared" si="49"/>
        <v>86.92578125</v>
      </c>
      <c r="K607" s="5">
        <v>5.1750000000000007</v>
      </c>
      <c r="L607" s="5">
        <v>80.59</v>
      </c>
      <c r="M607" s="5">
        <v>31.524000000000001</v>
      </c>
      <c r="N607" s="5">
        <v>1.7990000000000002</v>
      </c>
      <c r="O607" s="5">
        <f t="shared" si="50"/>
        <v>780</v>
      </c>
      <c r="P607" s="5">
        <f t="shared" si="51"/>
        <v>90</v>
      </c>
      <c r="R607" s="5">
        <v>15.55</v>
      </c>
      <c r="S607" s="5">
        <v>34.082499999999996</v>
      </c>
      <c r="T607" s="5">
        <v>36.21</v>
      </c>
      <c r="U607" s="2">
        <v>0.41444999999999999</v>
      </c>
      <c r="V607" s="5">
        <v>78</v>
      </c>
      <c r="W607" s="5">
        <v>78</v>
      </c>
      <c r="AA607" s="2"/>
      <c r="AJ607" s="4"/>
      <c r="AR607" s="4"/>
    </row>
    <row r="608" spans="4:44">
      <c r="D608" s="5">
        <v>-11.1</v>
      </c>
      <c r="E608" s="5">
        <v>59.885000000000005</v>
      </c>
      <c r="F608" s="5">
        <v>27.82</v>
      </c>
      <c r="G608" s="2">
        <v>4.3409999999999993</v>
      </c>
      <c r="H608" s="5">
        <f t="shared" si="48"/>
        <v>86.812624999999997</v>
      </c>
      <c r="I608" s="5">
        <f t="shared" si="49"/>
        <v>86.812624999999997</v>
      </c>
      <c r="K608" s="5">
        <v>5.45</v>
      </c>
      <c r="L608" s="5">
        <v>86.79</v>
      </c>
      <c r="M608" s="5">
        <v>31.524000000000001</v>
      </c>
      <c r="N608" s="5">
        <v>1.776</v>
      </c>
      <c r="O608" s="5">
        <f t="shared" si="50"/>
        <v>780</v>
      </c>
      <c r="P608" s="5">
        <f t="shared" si="51"/>
        <v>90</v>
      </c>
      <c r="R608" s="5">
        <v>15.8</v>
      </c>
      <c r="S608" s="5">
        <v>34.375</v>
      </c>
      <c r="T608" s="5">
        <v>36.21</v>
      </c>
      <c r="U608" s="2">
        <v>0.41420000000000001</v>
      </c>
      <c r="V608" s="5">
        <v>78</v>
      </c>
      <c r="W608" s="5">
        <v>78</v>
      </c>
      <c r="AA608" s="2"/>
      <c r="AJ608" s="4"/>
      <c r="AR608" s="4"/>
    </row>
    <row r="609" spans="4:44">
      <c r="D609" s="5">
        <v>-10.95</v>
      </c>
      <c r="E609" s="5">
        <v>59.932499999999997</v>
      </c>
      <c r="F609" s="5">
        <v>27.82</v>
      </c>
      <c r="G609" s="2">
        <v>4.4169999999999998</v>
      </c>
      <c r="H609" s="5">
        <f t="shared" si="48"/>
        <v>86.700031249999995</v>
      </c>
      <c r="I609" s="5">
        <f t="shared" si="49"/>
        <v>86.700031249999995</v>
      </c>
      <c r="K609" s="5">
        <v>5.7249999999999996</v>
      </c>
      <c r="L609" s="5">
        <v>92.99</v>
      </c>
      <c r="M609" s="5">
        <v>31.524000000000001</v>
      </c>
      <c r="N609" s="5">
        <v>1.7529999999999999</v>
      </c>
      <c r="O609" s="5">
        <f t="shared" si="50"/>
        <v>780</v>
      </c>
      <c r="P609" s="5">
        <f t="shared" si="51"/>
        <v>90</v>
      </c>
      <c r="R609" s="5">
        <v>16.05</v>
      </c>
      <c r="S609" s="5">
        <v>34.667500000000004</v>
      </c>
      <c r="T609" s="5">
        <v>36.21</v>
      </c>
      <c r="U609" s="2">
        <v>0.42149999999999999</v>
      </c>
      <c r="V609" s="5">
        <v>78</v>
      </c>
      <c r="W609" s="5">
        <v>78</v>
      </c>
      <c r="AA609" s="2"/>
      <c r="AJ609" s="4"/>
      <c r="AR609" s="4"/>
    </row>
    <row r="610" spans="4:44">
      <c r="D610" s="5">
        <v>-10.8</v>
      </c>
      <c r="E610" s="5">
        <v>59.980000000000004</v>
      </c>
      <c r="F610" s="5">
        <v>27.82</v>
      </c>
      <c r="G610" s="2">
        <v>4.4929999999999994</v>
      </c>
      <c r="H610" s="5">
        <f t="shared" si="48"/>
        <v>86.587999999999994</v>
      </c>
      <c r="I610" s="5">
        <f t="shared" si="49"/>
        <v>86.587999999999994</v>
      </c>
      <c r="K610" s="5">
        <v>6</v>
      </c>
      <c r="L610" s="5">
        <v>99.19</v>
      </c>
      <c r="M610" s="5">
        <v>31.524000000000001</v>
      </c>
      <c r="N610" s="5">
        <v>1.73</v>
      </c>
      <c r="O610" s="5">
        <f t="shared" si="50"/>
        <v>780</v>
      </c>
      <c r="P610" s="5">
        <f t="shared" si="51"/>
        <v>90</v>
      </c>
      <c r="R610" s="5">
        <v>16.3</v>
      </c>
      <c r="S610" s="5">
        <v>34.96</v>
      </c>
      <c r="T610" s="5">
        <v>36.21</v>
      </c>
      <c r="U610" s="2">
        <v>0.44400000000000001</v>
      </c>
      <c r="V610" s="5">
        <v>78</v>
      </c>
      <c r="W610" s="5">
        <v>78</v>
      </c>
      <c r="AA610" s="2"/>
      <c r="AJ610" s="4"/>
      <c r="AR610" s="4"/>
    </row>
    <row r="611" spans="4:44">
      <c r="D611" s="5">
        <v>-10.725</v>
      </c>
      <c r="E611" s="5">
        <v>60.034999999999997</v>
      </c>
      <c r="F611" s="5">
        <v>27.82</v>
      </c>
      <c r="G611" s="2">
        <v>4.4844999999999997</v>
      </c>
      <c r="H611" s="5">
        <f t="shared" si="48"/>
        <v>86.532195312499994</v>
      </c>
      <c r="I611" s="5">
        <f t="shared" si="49"/>
        <v>86.532195312499994</v>
      </c>
      <c r="K611" s="5">
        <v>6.5</v>
      </c>
      <c r="L611" s="5">
        <v>104.08</v>
      </c>
      <c r="M611" s="5">
        <v>31.524000000000001</v>
      </c>
      <c r="N611" s="5">
        <v>1.67225</v>
      </c>
      <c r="O611" s="5">
        <f t="shared" si="50"/>
        <v>780</v>
      </c>
      <c r="P611" s="5">
        <f t="shared" si="51"/>
        <v>90</v>
      </c>
      <c r="R611" s="5">
        <v>16.5</v>
      </c>
      <c r="S611" s="5">
        <v>34.887500000000003</v>
      </c>
      <c r="T611" s="5">
        <v>36.21</v>
      </c>
      <c r="U611" s="2">
        <v>0.42575000000000002</v>
      </c>
      <c r="V611" s="5">
        <v>78</v>
      </c>
      <c r="W611" s="5">
        <v>78</v>
      </c>
      <c r="AA611" s="2"/>
      <c r="AJ611" s="4"/>
      <c r="AR611" s="4"/>
    </row>
    <row r="612" spans="4:44">
      <c r="D612" s="5">
        <v>-10.65</v>
      </c>
      <c r="E612" s="5">
        <v>60.09</v>
      </c>
      <c r="F612" s="5">
        <v>27.82</v>
      </c>
      <c r="G612" s="2">
        <v>4.4759999999999991</v>
      </c>
      <c r="H612" s="5">
        <f t="shared" si="48"/>
        <v>86.476531249999994</v>
      </c>
      <c r="I612" s="5">
        <f t="shared" si="49"/>
        <v>86.476531249999994</v>
      </c>
      <c r="K612" s="5">
        <v>7</v>
      </c>
      <c r="L612" s="5">
        <v>108.97</v>
      </c>
      <c r="M612" s="5">
        <v>31.524000000000001</v>
      </c>
      <c r="N612" s="5">
        <v>1.6145</v>
      </c>
      <c r="O612" s="5">
        <f t="shared" si="50"/>
        <v>780</v>
      </c>
      <c r="P612" s="5">
        <f t="shared" si="51"/>
        <v>90</v>
      </c>
      <c r="R612" s="5">
        <v>16.7</v>
      </c>
      <c r="S612" s="5">
        <v>34.814999999999998</v>
      </c>
      <c r="T612" s="5">
        <v>36.21</v>
      </c>
      <c r="U612" s="2">
        <v>0.4133</v>
      </c>
      <c r="V612" s="5">
        <v>78</v>
      </c>
      <c r="W612" s="5">
        <v>78</v>
      </c>
      <c r="AA612" s="2"/>
      <c r="AJ612" s="4"/>
      <c r="AR612" s="4"/>
    </row>
    <row r="613" spans="4:44">
      <c r="D613" s="5">
        <v>-10.574999999999999</v>
      </c>
      <c r="E613" s="5">
        <v>60.144999999999996</v>
      </c>
      <c r="F613" s="5">
        <v>27.82</v>
      </c>
      <c r="G613" s="2">
        <v>4.4674999999999994</v>
      </c>
      <c r="H613" s="5">
        <f t="shared" si="48"/>
        <v>86.421007812499994</v>
      </c>
      <c r="I613" s="5">
        <f t="shared" si="49"/>
        <v>86.421007812499994</v>
      </c>
      <c r="K613" s="5">
        <v>7.5</v>
      </c>
      <c r="L613" s="5">
        <v>113.85999999999999</v>
      </c>
      <c r="M613" s="5">
        <v>31.524000000000001</v>
      </c>
      <c r="N613" s="5">
        <v>1.5567500000000001</v>
      </c>
      <c r="O613" s="5">
        <f t="shared" si="50"/>
        <v>780</v>
      </c>
      <c r="P613" s="5">
        <f t="shared" si="51"/>
        <v>90</v>
      </c>
      <c r="R613" s="5">
        <v>16.899999999999999</v>
      </c>
      <c r="S613" s="5">
        <v>34.7425</v>
      </c>
      <c r="T613" s="5">
        <v>36.21</v>
      </c>
      <c r="U613" s="2">
        <v>0.41310000000000002</v>
      </c>
      <c r="V613" s="5">
        <v>78</v>
      </c>
      <c r="W613" s="5">
        <v>78</v>
      </c>
      <c r="AA613" s="2"/>
      <c r="AJ613" s="4"/>
      <c r="AR613" s="4"/>
    </row>
    <row r="614" spans="4:44">
      <c r="D614" s="5">
        <v>-10.5</v>
      </c>
      <c r="E614" s="5">
        <v>60.199999999999996</v>
      </c>
      <c r="F614" s="5">
        <v>27.82</v>
      </c>
      <c r="G614" s="2">
        <v>4.4589999999999996</v>
      </c>
      <c r="H614" s="5">
        <f t="shared" si="48"/>
        <v>86.365624999999994</v>
      </c>
      <c r="I614" s="5">
        <f t="shared" si="49"/>
        <v>86.365624999999994</v>
      </c>
      <c r="K614" s="5">
        <v>8</v>
      </c>
      <c r="L614" s="5">
        <v>118.75</v>
      </c>
      <c r="M614" s="5">
        <v>31.524000000000001</v>
      </c>
      <c r="N614" s="5">
        <v>1.4990000000000001</v>
      </c>
      <c r="O614" s="5">
        <f t="shared" si="50"/>
        <v>780</v>
      </c>
      <c r="P614" s="5">
        <f t="shared" si="51"/>
        <v>90</v>
      </c>
      <c r="R614" s="5">
        <v>17.100000000000001</v>
      </c>
      <c r="S614" s="5">
        <v>34.67</v>
      </c>
      <c r="T614" s="5">
        <v>36.21</v>
      </c>
      <c r="U614" s="2">
        <v>0.41289999999999999</v>
      </c>
      <c r="V614" s="5">
        <v>78</v>
      </c>
      <c r="W614" s="5">
        <v>78</v>
      </c>
      <c r="AA614" s="2"/>
      <c r="AJ614" s="4"/>
      <c r="AR614" s="4"/>
    </row>
    <row r="615" spans="4:44">
      <c r="D615" s="5">
        <v>-10.425000000000001</v>
      </c>
      <c r="E615" s="5">
        <v>60.339999999999996</v>
      </c>
      <c r="F615" s="5">
        <v>27.82</v>
      </c>
      <c r="G615" s="2">
        <v>4.4684999999999997</v>
      </c>
      <c r="H615" s="5">
        <f t="shared" si="48"/>
        <v>86.310382812499995</v>
      </c>
      <c r="I615" s="5">
        <f t="shared" si="49"/>
        <v>86.310382812499995</v>
      </c>
      <c r="K615" s="5">
        <v>8.875</v>
      </c>
      <c r="L615" s="5">
        <v>108.47749999999999</v>
      </c>
      <c r="M615" s="5">
        <v>31.524000000000001</v>
      </c>
      <c r="N615" s="5">
        <v>1.4367500000000002</v>
      </c>
      <c r="O615" s="5">
        <f t="shared" si="50"/>
        <v>780</v>
      </c>
      <c r="P615" s="5">
        <f t="shared" si="51"/>
        <v>90</v>
      </c>
      <c r="R615" s="5">
        <v>17.100000000000001</v>
      </c>
      <c r="S615" s="5">
        <v>34.672499999999999</v>
      </c>
      <c r="T615" s="5">
        <v>36.21</v>
      </c>
      <c r="U615" s="2">
        <v>0.41289999999999999</v>
      </c>
      <c r="V615" s="5">
        <v>78</v>
      </c>
      <c r="W615" s="5">
        <v>78</v>
      </c>
      <c r="AA615" s="2"/>
      <c r="AJ615" s="4"/>
      <c r="AR615" s="4"/>
    </row>
    <row r="616" spans="4:44">
      <c r="D616" s="5">
        <v>-10.35</v>
      </c>
      <c r="E616" s="5">
        <v>60.480000000000004</v>
      </c>
      <c r="F616" s="5">
        <v>27.82</v>
      </c>
      <c r="G616" s="2">
        <v>4.4779999999999998</v>
      </c>
      <c r="H616" s="5">
        <f t="shared" si="48"/>
        <v>86.255281249999996</v>
      </c>
      <c r="I616" s="5">
        <f t="shared" si="49"/>
        <v>86.255281249999996</v>
      </c>
      <c r="K616" s="5">
        <v>9.75</v>
      </c>
      <c r="L616" s="5">
        <v>98.204999999999984</v>
      </c>
      <c r="M616" s="5">
        <v>31.524000000000001</v>
      </c>
      <c r="N616" s="5">
        <v>1.3745000000000001</v>
      </c>
      <c r="O616" s="5">
        <f t="shared" si="50"/>
        <v>780</v>
      </c>
      <c r="P616" s="5">
        <f t="shared" si="51"/>
        <v>90</v>
      </c>
      <c r="R616" s="5">
        <v>17.100000000000001</v>
      </c>
      <c r="S616" s="5">
        <v>34.674999999999997</v>
      </c>
      <c r="T616" s="5">
        <v>36.21</v>
      </c>
      <c r="U616" s="2">
        <v>0.41289999999999999</v>
      </c>
      <c r="V616" s="5">
        <v>78</v>
      </c>
      <c r="W616" s="5">
        <v>78</v>
      </c>
      <c r="AA616" s="2"/>
      <c r="AJ616" s="4"/>
      <c r="AR616" s="4"/>
    </row>
    <row r="617" spans="4:44">
      <c r="D617" s="5">
        <v>-10.275</v>
      </c>
      <c r="E617" s="5">
        <v>60.61999999999999</v>
      </c>
      <c r="F617" s="5">
        <v>27.82</v>
      </c>
      <c r="G617" s="2">
        <v>4.4874999999999998</v>
      </c>
      <c r="H617" s="5">
        <f t="shared" si="48"/>
        <v>86.200320312499997</v>
      </c>
      <c r="I617" s="5">
        <f t="shared" si="49"/>
        <v>86.200320312499997</v>
      </c>
      <c r="K617" s="5">
        <v>10.625</v>
      </c>
      <c r="L617" s="5">
        <v>87.932500000000005</v>
      </c>
      <c r="M617" s="5">
        <v>31.524000000000001</v>
      </c>
      <c r="N617" s="5">
        <v>1.3122500000000001</v>
      </c>
      <c r="O617" s="5">
        <f t="shared" si="50"/>
        <v>780</v>
      </c>
      <c r="P617" s="5">
        <f t="shared" si="51"/>
        <v>90</v>
      </c>
      <c r="R617" s="5">
        <v>17.100000000000001</v>
      </c>
      <c r="S617" s="5">
        <v>34.677500000000002</v>
      </c>
      <c r="T617" s="5">
        <v>36.21</v>
      </c>
      <c r="U617" s="2">
        <v>0.41289999999999999</v>
      </c>
      <c r="V617" s="5">
        <v>78</v>
      </c>
      <c r="W617" s="5">
        <v>78</v>
      </c>
      <c r="AA617" s="2"/>
      <c r="AJ617" s="4"/>
      <c r="AR617" s="4"/>
    </row>
    <row r="618" spans="4:44">
      <c r="D618" s="5">
        <v>-10.199999999999999</v>
      </c>
      <c r="E618" s="5">
        <v>60.76</v>
      </c>
      <c r="F618" s="5">
        <v>27.82</v>
      </c>
      <c r="G618" s="2">
        <v>4.4969999999999999</v>
      </c>
      <c r="H618" s="5">
        <f t="shared" si="48"/>
        <v>86.145499999999998</v>
      </c>
      <c r="I618" s="5">
        <f t="shared" si="49"/>
        <v>86.145499999999998</v>
      </c>
      <c r="K618" s="5">
        <v>11.5</v>
      </c>
      <c r="L618" s="5">
        <v>77.66</v>
      </c>
      <c r="M618" s="5">
        <v>31.524000000000001</v>
      </c>
      <c r="N618" s="5">
        <v>1.25</v>
      </c>
      <c r="O618" s="5">
        <f t="shared" si="50"/>
        <v>780</v>
      </c>
      <c r="P618" s="5">
        <f t="shared" si="51"/>
        <v>90</v>
      </c>
      <c r="R618" s="5">
        <v>17.100000000000001</v>
      </c>
      <c r="S618" s="5">
        <v>34.68</v>
      </c>
      <c r="T618" s="5">
        <v>36.21</v>
      </c>
      <c r="U618" s="2">
        <v>0.41289999999999999</v>
      </c>
      <c r="V618" s="5">
        <v>78</v>
      </c>
      <c r="W618" s="5">
        <v>78</v>
      </c>
      <c r="AA618" s="2"/>
      <c r="AJ618" s="4"/>
      <c r="AR618" s="4"/>
    </row>
    <row r="619" spans="4:44">
      <c r="D619" s="5">
        <v>-10.25</v>
      </c>
      <c r="E619" s="5">
        <v>60.967500000000001</v>
      </c>
      <c r="F619" s="5">
        <v>27.82</v>
      </c>
      <c r="G619" s="2">
        <v>4.4935</v>
      </c>
      <c r="H619" s="5">
        <f t="shared" si="48"/>
        <v>86.182031249999994</v>
      </c>
      <c r="I619" s="5">
        <f t="shared" si="49"/>
        <v>86.182031249999994</v>
      </c>
      <c r="K619" s="5">
        <v>12.25</v>
      </c>
      <c r="L619" s="5">
        <v>74.325000000000003</v>
      </c>
      <c r="M619" s="5">
        <v>31.524000000000001</v>
      </c>
      <c r="N619" s="5">
        <v>1.2315</v>
      </c>
      <c r="O619" s="5">
        <f t="shared" si="50"/>
        <v>780</v>
      </c>
      <c r="P619" s="5">
        <f t="shared" si="51"/>
        <v>90</v>
      </c>
      <c r="R619" s="5">
        <v>17.274999999999999</v>
      </c>
      <c r="S619" s="5">
        <v>33.82</v>
      </c>
      <c r="T619" s="5">
        <v>36.21</v>
      </c>
      <c r="U619" s="2">
        <v>0.41272500000000001</v>
      </c>
      <c r="V619" s="5">
        <v>78</v>
      </c>
      <c r="W619" s="5">
        <v>78</v>
      </c>
      <c r="AA619" s="2"/>
      <c r="AJ619" s="4"/>
      <c r="AR619" s="4"/>
    </row>
    <row r="620" spans="4:44">
      <c r="D620" s="5">
        <v>-10.3</v>
      </c>
      <c r="E620" s="5">
        <v>61.174999999999997</v>
      </c>
      <c r="F620" s="5">
        <v>27.82</v>
      </c>
      <c r="G620" s="2">
        <v>4.49</v>
      </c>
      <c r="H620" s="5">
        <f t="shared" si="48"/>
        <v>86.218625000000003</v>
      </c>
      <c r="I620" s="5">
        <f t="shared" si="49"/>
        <v>86.218625000000003</v>
      </c>
      <c r="K620" s="5">
        <v>13</v>
      </c>
      <c r="L620" s="5">
        <v>70.990000000000009</v>
      </c>
      <c r="M620" s="5">
        <v>31.524000000000001</v>
      </c>
      <c r="N620" s="5">
        <v>1.2130000000000001</v>
      </c>
      <c r="O620" s="5">
        <f t="shared" si="50"/>
        <v>780</v>
      </c>
      <c r="P620" s="5">
        <f t="shared" si="51"/>
        <v>90</v>
      </c>
      <c r="R620" s="5">
        <v>17.45</v>
      </c>
      <c r="S620" s="5">
        <v>32.96</v>
      </c>
      <c r="T620" s="5">
        <v>36.21</v>
      </c>
      <c r="U620" s="2">
        <v>0.41254999999999997</v>
      </c>
      <c r="V620" s="5">
        <v>78</v>
      </c>
      <c r="W620" s="5">
        <v>78</v>
      </c>
      <c r="AA620" s="2"/>
      <c r="AJ620" s="4"/>
      <c r="AR620" s="4"/>
    </row>
    <row r="621" spans="4:44">
      <c r="D621" s="5">
        <v>-10.35</v>
      </c>
      <c r="E621" s="5">
        <v>61.382499999999993</v>
      </c>
      <c r="F621" s="5">
        <v>27.82</v>
      </c>
      <c r="G621" s="2">
        <v>4.4864999999999995</v>
      </c>
      <c r="H621" s="5">
        <f t="shared" si="48"/>
        <v>86.255281249999996</v>
      </c>
      <c r="I621" s="5">
        <f t="shared" si="49"/>
        <v>86.255281249999996</v>
      </c>
      <c r="K621" s="5">
        <v>13.75</v>
      </c>
      <c r="L621" s="5">
        <v>67.655000000000001</v>
      </c>
      <c r="M621" s="5">
        <v>31.524000000000001</v>
      </c>
      <c r="N621" s="5">
        <v>1.1945000000000001</v>
      </c>
      <c r="O621" s="5">
        <f t="shared" si="50"/>
        <v>780</v>
      </c>
      <c r="P621" s="5">
        <f t="shared" si="51"/>
        <v>90</v>
      </c>
      <c r="R621" s="5">
        <v>17.625</v>
      </c>
      <c r="S621" s="5">
        <v>32.1</v>
      </c>
      <c r="T621" s="5">
        <v>36.21</v>
      </c>
      <c r="U621" s="2">
        <v>0.41237499999999999</v>
      </c>
      <c r="V621" s="5">
        <v>78</v>
      </c>
      <c r="W621" s="5">
        <v>78</v>
      </c>
      <c r="AA621" s="2"/>
      <c r="AJ621" s="4"/>
      <c r="AR621" s="4"/>
    </row>
    <row r="622" spans="4:44">
      <c r="D622" s="5">
        <v>-10.4</v>
      </c>
      <c r="E622" s="5">
        <v>61.589999999999996</v>
      </c>
      <c r="F622" s="5">
        <v>27.82</v>
      </c>
      <c r="G622" s="2">
        <v>4.4829999999999997</v>
      </c>
      <c r="H622" s="5">
        <f t="shared" si="48"/>
        <v>86.292000000000002</v>
      </c>
      <c r="I622" s="5">
        <f t="shared" si="49"/>
        <v>86.292000000000002</v>
      </c>
      <c r="K622" s="5">
        <v>14.5</v>
      </c>
      <c r="L622" s="5">
        <v>64.320000000000007</v>
      </c>
      <c r="M622" s="5">
        <v>31.524000000000001</v>
      </c>
      <c r="N622" s="5">
        <v>1.1759999999999999</v>
      </c>
      <c r="O622" s="5">
        <f t="shared" si="50"/>
        <v>780</v>
      </c>
      <c r="P622" s="5">
        <f t="shared" si="51"/>
        <v>90</v>
      </c>
      <c r="R622" s="5">
        <v>17.8</v>
      </c>
      <c r="S622" s="5">
        <v>31.240000000000002</v>
      </c>
      <c r="T622" s="5">
        <v>36.21</v>
      </c>
      <c r="U622" s="2">
        <v>0.41220000000000001</v>
      </c>
      <c r="V622" s="5">
        <v>78</v>
      </c>
      <c r="W622" s="5">
        <v>78</v>
      </c>
      <c r="AA622" s="2"/>
      <c r="AJ622" s="4"/>
      <c r="AR622" s="4"/>
    </row>
    <row r="623" spans="4:44">
      <c r="D623" s="5">
        <v>-10.324999999999999</v>
      </c>
      <c r="E623" s="5">
        <v>61.822499999999998</v>
      </c>
      <c r="F623" s="5">
        <v>27.82</v>
      </c>
      <c r="G623" s="2">
        <v>4.476</v>
      </c>
      <c r="H623" s="5">
        <f t="shared" si="48"/>
        <v>86.236945312499998</v>
      </c>
      <c r="I623" s="5">
        <f t="shared" si="49"/>
        <v>86.236945312499998</v>
      </c>
      <c r="K623" s="5">
        <v>14.95</v>
      </c>
      <c r="L623" s="5">
        <v>58.879999999999995</v>
      </c>
      <c r="M623" s="5">
        <v>31.524000000000001</v>
      </c>
      <c r="N623" s="5">
        <v>1.07525</v>
      </c>
      <c r="O623" s="5">
        <f t="shared" si="50"/>
        <v>780</v>
      </c>
      <c r="P623" s="5">
        <f t="shared" si="51"/>
        <v>90</v>
      </c>
      <c r="R623" s="5">
        <v>18.25</v>
      </c>
      <c r="S623" s="5">
        <v>30.019999999999996</v>
      </c>
      <c r="T623" s="5">
        <v>36.21</v>
      </c>
      <c r="U623" s="2">
        <v>0.41175</v>
      </c>
      <c r="V623" s="5">
        <v>78</v>
      </c>
      <c r="W623" s="5">
        <v>78</v>
      </c>
      <c r="AA623" s="2"/>
      <c r="AJ623" s="4"/>
      <c r="AR623" s="4"/>
    </row>
    <row r="624" spans="4:44">
      <c r="D624" s="5">
        <v>-10.25</v>
      </c>
      <c r="E624" s="5">
        <v>62.055</v>
      </c>
      <c r="F624" s="5">
        <v>27.82</v>
      </c>
      <c r="G624" s="2">
        <v>4.4689999999999994</v>
      </c>
      <c r="H624" s="5">
        <f t="shared" si="48"/>
        <v>86.182031249999994</v>
      </c>
      <c r="I624" s="5">
        <f t="shared" si="49"/>
        <v>86.182031249999994</v>
      </c>
      <c r="K624" s="5">
        <v>15.4</v>
      </c>
      <c r="L624" s="5">
        <v>53.440000000000005</v>
      </c>
      <c r="M624" s="5">
        <v>31.524000000000001</v>
      </c>
      <c r="N624" s="5">
        <v>0.97449999999999992</v>
      </c>
      <c r="O624" s="5">
        <f t="shared" si="50"/>
        <v>780</v>
      </c>
      <c r="P624" s="5">
        <f t="shared" si="51"/>
        <v>90</v>
      </c>
      <c r="R624" s="5">
        <v>18.7</v>
      </c>
      <c r="S624" s="5">
        <v>28.799999999999997</v>
      </c>
      <c r="T624" s="5">
        <v>36.21</v>
      </c>
      <c r="U624" s="2">
        <v>0.4113</v>
      </c>
      <c r="V624" s="5">
        <v>78</v>
      </c>
      <c r="W624" s="5">
        <v>78</v>
      </c>
      <c r="AA624" s="2"/>
      <c r="AJ624" s="4"/>
      <c r="AR624" s="4"/>
    </row>
    <row r="625" spans="4:44">
      <c r="D625" s="5">
        <v>-10.175000000000001</v>
      </c>
      <c r="E625" s="5">
        <v>62.287499999999994</v>
      </c>
      <c r="F625" s="5">
        <v>27.82</v>
      </c>
      <c r="G625" s="2">
        <v>4.4619999999999997</v>
      </c>
      <c r="H625" s="5">
        <f t="shared" si="48"/>
        <v>86.127257812500005</v>
      </c>
      <c r="I625" s="5">
        <f t="shared" si="49"/>
        <v>86.127257812500005</v>
      </c>
      <c r="K625" s="5">
        <v>15.85</v>
      </c>
      <c r="L625" s="5">
        <v>48.000000000000007</v>
      </c>
      <c r="M625" s="5">
        <v>31.524000000000001</v>
      </c>
      <c r="N625" s="5">
        <v>0.87375000000000003</v>
      </c>
      <c r="O625" s="5">
        <f t="shared" si="50"/>
        <v>780</v>
      </c>
      <c r="P625" s="5">
        <f t="shared" si="51"/>
        <v>90</v>
      </c>
      <c r="R625" s="5">
        <v>19.149999999999999</v>
      </c>
      <c r="S625" s="5">
        <v>27.58</v>
      </c>
      <c r="T625" s="5">
        <v>36.21</v>
      </c>
      <c r="U625" s="2">
        <v>0.41084999999999999</v>
      </c>
      <c r="V625" s="5">
        <v>78</v>
      </c>
      <c r="W625" s="5">
        <v>78</v>
      </c>
      <c r="AA625" s="2"/>
      <c r="AJ625" s="4"/>
      <c r="AR625" s="4"/>
    </row>
    <row r="626" spans="4:44">
      <c r="D626" s="5">
        <v>-10.1</v>
      </c>
      <c r="E626" s="5">
        <v>62.519999999999996</v>
      </c>
      <c r="F626" s="5">
        <v>27.82</v>
      </c>
      <c r="G626" s="2">
        <v>4.4550000000000001</v>
      </c>
      <c r="H626" s="5">
        <f t="shared" si="48"/>
        <v>86.072625000000002</v>
      </c>
      <c r="I626" s="5">
        <f t="shared" si="49"/>
        <v>86.072625000000002</v>
      </c>
      <c r="K626" s="5">
        <v>16.3</v>
      </c>
      <c r="L626" s="5">
        <v>42.56</v>
      </c>
      <c r="M626" s="5">
        <v>31.524000000000001</v>
      </c>
      <c r="N626" s="5">
        <v>0.77300000000000002</v>
      </c>
      <c r="O626" s="5">
        <f t="shared" si="50"/>
        <v>780</v>
      </c>
      <c r="P626" s="5">
        <f t="shared" si="51"/>
        <v>90</v>
      </c>
      <c r="R626" s="5">
        <v>19.600000000000001</v>
      </c>
      <c r="S626" s="5">
        <v>26.36</v>
      </c>
      <c r="T626" s="5">
        <v>36.21</v>
      </c>
      <c r="U626" s="2">
        <v>0.43099999999999999</v>
      </c>
      <c r="V626" s="5">
        <v>78</v>
      </c>
      <c r="W626" s="5">
        <v>78</v>
      </c>
      <c r="AA626" s="2"/>
      <c r="AJ626" s="4"/>
      <c r="AR626" s="4"/>
    </row>
    <row r="627" spans="4:44">
      <c r="D627" s="5">
        <v>-9.9749999999999996</v>
      </c>
      <c r="E627" s="5">
        <v>62.734999999999999</v>
      </c>
      <c r="F627" s="5">
        <v>27.82</v>
      </c>
      <c r="G627" s="2">
        <v>4.4152500000000003</v>
      </c>
      <c r="H627" s="5">
        <f t="shared" si="48"/>
        <v>85.981882812500004</v>
      </c>
      <c r="I627" s="5">
        <f t="shared" si="49"/>
        <v>85.981882812500004</v>
      </c>
      <c r="K627" s="5">
        <v>16.649999999999999</v>
      </c>
      <c r="L627" s="5">
        <v>41.65</v>
      </c>
      <c r="M627" s="5">
        <v>31.524000000000001</v>
      </c>
      <c r="N627" s="5">
        <v>0.73399999999999999</v>
      </c>
      <c r="O627" s="5">
        <f t="shared" si="50"/>
        <v>780</v>
      </c>
      <c r="P627" s="5">
        <f t="shared" si="51"/>
        <v>90</v>
      </c>
      <c r="R627" s="5">
        <v>19.899999999999999</v>
      </c>
      <c r="S627" s="5">
        <v>24.68</v>
      </c>
      <c r="T627" s="5">
        <v>36.21</v>
      </c>
      <c r="U627" s="2">
        <v>0.41010000000000002</v>
      </c>
      <c r="V627" s="5">
        <v>78</v>
      </c>
      <c r="W627" s="5">
        <v>78</v>
      </c>
      <c r="AA627" s="2"/>
      <c r="AJ627" s="4"/>
      <c r="AR627" s="4"/>
    </row>
    <row r="628" spans="4:44">
      <c r="D628" s="5">
        <v>-9.85</v>
      </c>
      <c r="E628" s="5">
        <v>62.95</v>
      </c>
      <c r="F628" s="5">
        <v>27.82</v>
      </c>
      <c r="G628" s="2">
        <v>4.3754999999999997</v>
      </c>
      <c r="H628" s="5">
        <f t="shared" si="48"/>
        <v>85.89153125</v>
      </c>
      <c r="I628" s="5">
        <f t="shared" si="49"/>
        <v>85.89153125</v>
      </c>
      <c r="K628" s="5">
        <v>17</v>
      </c>
      <c r="L628" s="5">
        <v>40.739999999999995</v>
      </c>
      <c r="M628" s="5">
        <v>31.524000000000001</v>
      </c>
      <c r="N628" s="5">
        <v>0.69500000000000006</v>
      </c>
      <c r="O628" s="5">
        <f t="shared" si="50"/>
        <v>780</v>
      </c>
      <c r="P628" s="5">
        <f t="shared" si="51"/>
        <v>90</v>
      </c>
      <c r="R628" s="5">
        <v>20.2</v>
      </c>
      <c r="S628" s="5">
        <v>23</v>
      </c>
      <c r="T628" s="5">
        <v>36.21</v>
      </c>
      <c r="U628" s="2">
        <v>0.4098</v>
      </c>
      <c r="V628" s="5">
        <v>78</v>
      </c>
      <c r="W628" s="5">
        <v>78</v>
      </c>
      <c r="AA628" s="2"/>
      <c r="AJ628" s="4"/>
      <c r="AR628" s="4"/>
    </row>
    <row r="629" spans="4:44">
      <c r="D629" s="5">
        <v>-9.7249999999999996</v>
      </c>
      <c r="E629" s="5">
        <v>63.164999999999992</v>
      </c>
      <c r="F629" s="5">
        <v>27.82</v>
      </c>
      <c r="G629" s="2">
        <v>4.33575</v>
      </c>
      <c r="H629" s="5">
        <f t="shared" si="48"/>
        <v>85.801570312500004</v>
      </c>
      <c r="I629" s="5">
        <f t="shared" si="49"/>
        <v>85.801570312500004</v>
      </c>
      <c r="K629" s="5">
        <v>17.350000000000001</v>
      </c>
      <c r="L629" s="5">
        <v>39.83</v>
      </c>
      <c r="M629" s="5">
        <v>31.524000000000001</v>
      </c>
      <c r="N629" s="5">
        <v>0.65599999999999992</v>
      </c>
      <c r="O629" s="5">
        <f t="shared" si="50"/>
        <v>780</v>
      </c>
      <c r="P629" s="5">
        <f t="shared" si="51"/>
        <v>90</v>
      </c>
      <c r="R629" s="5">
        <v>20.5</v>
      </c>
      <c r="S629" s="5">
        <v>21.32</v>
      </c>
      <c r="T629" s="5">
        <v>36.21</v>
      </c>
      <c r="U629" s="2">
        <v>0.40949999999999998</v>
      </c>
      <c r="V629" s="5">
        <v>78</v>
      </c>
      <c r="W629" s="5">
        <v>78</v>
      </c>
      <c r="AA629" s="2"/>
      <c r="AJ629" s="4"/>
      <c r="AR629" s="4"/>
    </row>
    <row r="630" spans="4:44">
      <c r="D630" s="5">
        <v>-9.6</v>
      </c>
      <c r="E630" s="5">
        <v>63.38</v>
      </c>
      <c r="F630" s="5">
        <v>27.82</v>
      </c>
      <c r="G630" s="2">
        <v>4.2960000000000003</v>
      </c>
      <c r="H630" s="5">
        <f t="shared" si="48"/>
        <v>85.712000000000003</v>
      </c>
      <c r="I630" s="5">
        <f t="shared" si="49"/>
        <v>85.712000000000003</v>
      </c>
      <c r="K630" s="5">
        <v>17.7</v>
      </c>
      <c r="L630" s="5">
        <v>38.92</v>
      </c>
      <c r="M630" s="5">
        <v>31.524000000000001</v>
      </c>
      <c r="N630" s="5">
        <v>0.61699999999999999</v>
      </c>
      <c r="O630" s="5">
        <f t="shared" si="50"/>
        <v>780</v>
      </c>
      <c r="P630" s="5">
        <f t="shared" si="51"/>
        <v>90</v>
      </c>
      <c r="R630" s="5">
        <v>20.8</v>
      </c>
      <c r="S630" s="5">
        <v>19.64</v>
      </c>
      <c r="T630" s="5">
        <v>36.21</v>
      </c>
      <c r="U630" s="2">
        <v>0.40920000000000001</v>
      </c>
      <c r="V630" s="5">
        <v>78</v>
      </c>
      <c r="W630" s="5">
        <v>78</v>
      </c>
      <c r="AA630" s="2"/>
      <c r="AJ630" s="4"/>
      <c r="AR630" s="4"/>
    </row>
    <row r="631" spans="4:44">
      <c r="D631" s="5">
        <v>-9.4499999999999993</v>
      </c>
      <c r="E631" s="5">
        <v>62.932499999999997</v>
      </c>
      <c r="F631" s="5">
        <v>27.82</v>
      </c>
      <c r="G631" s="2">
        <v>4.2787499999999996</v>
      </c>
      <c r="H631" s="5">
        <f t="shared" si="48"/>
        <v>85.605031249999996</v>
      </c>
      <c r="I631" s="5">
        <f t="shared" si="49"/>
        <v>85.605031249999996</v>
      </c>
      <c r="K631" s="5">
        <v>18.175000000000001</v>
      </c>
      <c r="L631" s="5">
        <v>37.04</v>
      </c>
      <c r="M631" s="5">
        <v>31.524000000000001</v>
      </c>
      <c r="N631" s="5">
        <v>0.61624999999999996</v>
      </c>
      <c r="O631" s="5">
        <f t="shared" si="50"/>
        <v>780</v>
      </c>
      <c r="P631" s="5">
        <f t="shared" si="51"/>
        <v>90</v>
      </c>
      <c r="R631" s="5">
        <v>21.1</v>
      </c>
      <c r="S631" s="5">
        <v>18.942499999999999</v>
      </c>
      <c r="T631" s="5">
        <v>36.21</v>
      </c>
      <c r="U631" s="2">
        <v>0.40889999999999999</v>
      </c>
      <c r="V631" s="5">
        <v>78</v>
      </c>
      <c r="W631" s="5">
        <v>78</v>
      </c>
      <c r="AA631" s="2"/>
      <c r="AJ631" s="4"/>
      <c r="AR631" s="4"/>
    </row>
    <row r="632" spans="4:44">
      <c r="D632" s="5">
        <v>-9.3000000000000007</v>
      </c>
      <c r="E632" s="5">
        <v>62.484999999999999</v>
      </c>
      <c r="F632" s="5">
        <v>27.82</v>
      </c>
      <c r="G632" s="2">
        <v>4.2614999999999998</v>
      </c>
      <c r="H632" s="5">
        <f t="shared" si="48"/>
        <v>85.498625000000004</v>
      </c>
      <c r="I632" s="5">
        <f t="shared" si="49"/>
        <v>85.498625000000004</v>
      </c>
      <c r="K632" s="5">
        <v>18.649999999999999</v>
      </c>
      <c r="L632" s="5">
        <v>35.159999999999997</v>
      </c>
      <c r="M632" s="5">
        <v>31.524000000000001</v>
      </c>
      <c r="N632" s="5">
        <v>0.61549999999999994</v>
      </c>
      <c r="O632" s="5">
        <f t="shared" si="50"/>
        <v>780</v>
      </c>
      <c r="P632" s="5">
        <f t="shared" si="51"/>
        <v>90</v>
      </c>
      <c r="R632" s="5">
        <v>21.4</v>
      </c>
      <c r="S632" s="5">
        <v>18.245000000000001</v>
      </c>
      <c r="T632" s="5">
        <v>36.21</v>
      </c>
      <c r="U632" s="2">
        <v>0.45899999999999996</v>
      </c>
      <c r="V632" s="5">
        <v>78</v>
      </c>
      <c r="W632" s="5">
        <v>78</v>
      </c>
      <c r="AA632" s="2"/>
      <c r="AJ632" s="4"/>
      <c r="AR632" s="4"/>
    </row>
    <row r="633" spans="4:44">
      <c r="D633" s="5">
        <v>-9.15</v>
      </c>
      <c r="E633" s="5">
        <v>62.037499999999994</v>
      </c>
      <c r="F633" s="5">
        <v>27.82</v>
      </c>
      <c r="G633" s="2">
        <v>4.2442500000000001</v>
      </c>
      <c r="H633" s="5">
        <f t="shared" si="48"/>
        <v>85.392781249999999</v>
      </c>
      <c r="I633" s="5">
        <f t="shared" si="49"/>
        <v>85.392781249999999</v>
      </c>
      <c r="K633" s="5">
        <v>19.125</v>
      </c>
      <c r="L633" s="5">
        <v>33.28</v>
      </c>
      <c r="M633" s="5">
        <v>31.524000000000001</v>
      </c>
      <c r="N633" s="5">
        <v>0.61474999999999991</v>
      </c>
      <c r="O633" s="5">
        <f t="shared" si="50"/>
        <v>780</v>
      </c>
      <c r="P633" s="5">
        <f t="shared" si="51"/>
        <v>90</v>
      </c>
      <c r="R633" s="5">
        <v>21.7</v>
      </c>
      <c r="S633" s="5">
        <v>17.547499999999999</v>
      </c>
      <c r="T633" s="5">
        <v>36.21</v>
      </c>
      <c r="U633" s="2">
        <v>0.505</v>
      </c>
      <c r="V633" s="5">
        <v>78</v>
      </c>
      <c r="W633" s="5">
        <v>78</v>
      </c>
      <c r="AA633" s="2"/>
      <c r="AJ633" s="4"/>
      <c r="AR633" s="4"/>
    </row>
    <row r="634" spans="4:44">
      <c r="D634" s="5">
        <v>-9</v>
      </c>
      <c r="E634" s="5">
        <v>61.589999999999996</v>
      </c>
      <c r="F634" s="5">
        <v>27.82</v>
      </c>
      <c r="G634" s="2">
        <v>4.2270000000000003</v>
      </c>
      <c r="H634" s="5">
        <f t="shared" si="48"/>
        <v>85.287499999999994</v>
      </c>
      <c r="I634" s="5">
        <f t="shared" si="49"/>
        <v>85.287499999999994</v>
      </c>
      <c r="K634" s="5">
        <v>19.600000000000001</v>
      </c>
      <c r="L634" s="5">
        <v>31.400000000000002</v>
      </c>
      <c r="M634" s="5">
        <v>31.524000000000001</v>
      </c>
      <c r="N634" s="5">
        <v>0.61399999999999999</v>
      </c>
      <c r="O634" s="5">
        <f t="shared" si="50"/>
        <v>780</v>
      </c>
      <c r="P634" s="5">
        <f t="shared" si="51"/>
        <v>90</v>
      </c>
      <c r="R634" s="5">
        <v>22</v>
      </c>
      <c r="S634" s="5">
        <v>16.850000000000001</v>
      </c>
      <c r="T634" s="5">
        <v>36.21</v>
      </c>
      <c r="U634" s="2">
        <v>0.55099999999999993</v>
      </c>
      <c r="V634" s="5">
        <v>78</v>
      </c>
      <c r="W634" s="5">
        <v>78</v>
      </c>
      <c r="AA634" s="2"/>
      <c r="AJ634" s="4"/>
      <c r="AR634" s="4"/>
    </row>
    <row r="635" spans="4:44">
      <c r="D635" s="5">
        <v>-8.85</v>
      </c>
      <c r="E635" s="5">
        <v>61.292499999999997</v>
      </c>
      <c r="F635" s="5">
        <v>27.82</v>
      </c>
      <c r="G635" s="2">
        <v>4.2237499999999999</v>
      </c>
      <c r="H635" s="5">
        <f t="shared" si="48"/>
        <v>85.182781250000005</v>
      </c>
      <c r="I635" s="5">
        <f t="shared" si="49"/>
        <v>85.182781250000005</v>
      </c>
      <c r="K635" s="5">
        <v>19.574999999999999</v>
      </c>
      <c r="L635" s="5">
        <v>31.352499999999999</v>
      </c>
      <c r="M635" s="5">
        <v>31.524000000000001</v>
      </c>
      <c r="N635" s="5">
        <v>0.60624999999999996</v>
      </c>
      <c r="O635" s="5">
        <f t="shared" si="50"/>
        <v>780</v>
      </c>
      <c r="P635" s="5">
        <f t="shared" si="51"/>
        <v>90</v>
      </c>
      <c r="R635" s="5">
        <v>22.175000000000001</v>
      </c>
      <c r="S635" s="5">
        <v>17.8125</v>
      </c>
      <c r="T635" s="5">
        <v>36.21</v>
      </c>
      <c r="U635" s="2">
        <v>0.51124999999999998</v>
      </c>
      <c r="V635" s="5">
        <v>78</v>
      </c>
      <c r="W635" s="5">
        <v>78</v>
      </c>
      <c r="AA635" s="2"/>
      <c r="AJ635" s="4"/>
      <c r="AR635" s="4"/>
    </row>
    <row r="636" spans="4:44">
      <c r="D636" s="5">
        <v>-8.6999999999999993</v>
      </c>
      <c r="E636" s="5">
        <v>60.994999999999997</v>
      </c>
      <c r="F636" s="5">
        <v>27.82</v>
      </c>
      <c r="G636" s="2">
        <v>4.2204999999999995</v>
      </c>
      <c r="H636" s="5">
        <f t="shared" si="48"/>
        <v>85.078625000000002</v>
      </c>
      <c r="I636" s="5">
        <f t="shared" si="49"/>
        <v>85.078625000000002</v>
      </c>
      <c r="K636" s="5">
        <v>19.55</v>
      </c>
      <c r="L636" s="5">
        <v>31.305</v>
      </c>
      <c r="M636" s="5">
        <v>31.524000000000001</v>
      </c>
      <c r="N636" s="5">
        <v>0.59850000000000003</v>
      </c>
      <c r="O636" s="5">
        <f t="shared" si="50"/>
        <v>780</v>
      </c>
      <c r="P636" s="5">
        <f t="shared" si="51"/>
        <v>90</v>
      </c>
      <c r="R636" s="5">
        <v>22.35</v>
      </c>
      <c r="S636" s="5">
        <v>18.774999999999999</v>
      </c>
      <c r="T636" s="5">
        <v>36.21</v>
      </c>
      <c r="U636" s="2">
        <v>0.47150000000000003</v>
      </c>
      <c r="V636" s="5">
        <v>78</v>
      </c>
      <c r="W636" s="5">
        <v>78</v>
      </c>
      <c r="AA636" s="2"/>
      <c r="AJ636" s="4"/>
      <c r="AR636" s="4"/>
    </row>
    <row r="637" spans="4:44">
      <c r="D637" s="5">
        <v>-8.5500000000000007</v>
      </c>
      <c r="E637" s="5">
        <v>60.697499999999998</v>
      </c>
      <c r="F637" s="5">
        <v>27.82</v>
      </c>
      <c r="G637" s="2">
        <v>4.2172499999999999</v>
      </c>
      <c r="H637" s="5">
        <f t="shared" si="48"/>
        <v>84.975031250000001</v>
      </c>
      <c r="I637" s="5">
        <f t="shared" si="49"/>
        <v>84.975031250000001</v>
      </c>
      <c r="K637" s="5">
        <v>19.524999999999999</v>
      </c>
      <c r="L637" s="5">
        <v>31.2575</v>
      </c>
      <c r="M637" s="5">
        <v>31.524000000000001</v>
      </c>
      <c r="N637" s="5">
        <v>0.59075</v>
      </c>
      <c r="O637" s="5">
        <f t="shared" si="50"/>
        <v>780</v>
      </c>
      <c r="P637" s="5">
        <f t="shared" si="51"/>
        <v>90</v>
      </c>
      <c r="R637" s="5">
        <v>22.524999999999999</v>
      </c>
      <c r="S637" s="5">
        <v>19.737499999999997</v>
      </c>
      <c r="T637" s="5">
        <v>36.21</v>
      </c>
      <c r="U637" s="2">
        <v>0.43175000000000002</v>
      </c>
      <c r="V637" s="5">
        <v>78</v>
      </c>
      <c r="W637" s="5">
        <v>78</v>
      </c>
      <c r="AA637" s="2"/>
      <c r="AJ637" s="4"/>
      <c r="AR637" s="4"/>
    </row>
    <row r="638" spans="4:44">
      <c r="D638" s="5">
        <v>-8.4</v>
      </c>
      <c r="E638" s="5">
        <v>60.4</v>
      </c>
      <c r="F638" s="5">
        <v>27.82</v>
      </c>
      <c r="G638" s="2">
        <v>4.2139999999999995</v>
      </c>
      <c r="H638" s="5">
        <f t="shared" si="48"/>
        <v>84.872</v>
      </c>
      <c r="I638" s="5">
        <f t="shared" si="49"/>
        <v>84.872</v>
      </c>
      <c r="K638" s="5">
        <v>19.5</v>
      </c>
      <c r="L638" s="5">
        <v>31.21</v>
      </c>
      <c r="M638" s="5">
        <v>31.524000000000001</v>
      </c>
      <c r="N638" s="5">
        <v>0.58299999999999996</v>
      </c>
      <c r="O638" s="5">
        <f t="shared" si="50"/>
        <v>780</v>
      </c>
      <c r="P638" s="5">
        <f t="shared" si="51"/>
        <v>90</v>
      </c>
      <c r="R638" s="5">
        <v>22.7</v>
      </c>
      <c r="S638" s="5">
        <v>20.7</v>
      </c>
      <c r="T638" s="5">
        <v>36.21</v>
      </c>
      <c r="U638" s="2">
        <v>0.4073</v>
      </c>
      <c r="V638" s="5">
        <v>78</v>
      </c>
      <c r="W638" s="5">
        <v>78</v>
      </c>
      <c r="AA638" s="2"/>
      <c r="AJ638" s="4"/>
      <c r="AR638" s="4"/>
    </row>
    <row r="639" spans="4:44">
      <c r="D639" s="5">
        <v>-8.3000000000000007</v>
      </c>
      <c r="E639" s="5">
        <v>60.317499999999995</v>
      </c>
      <c r="F639" s="5">
        <v>27.82</v>
      </c>
      <c r="G639" s="2">
        <v>4.2082499999999996</v>
      </c>
      <c r="H639" s="5">
        <f t="shared" si="48"/>
        <v>84.803624999999997</v>
      </c>
      <c r="I639" s="5">
        <f t="shared" si="49"/>
        <v>84.803624999999997</v>
      </c>
      <c r="K639" s="5">
        <v>19.3</v>
      </c>
      <c r="L639" s="5">
        <v>33.53</v>
      </c>
      <c r="M639" s="5">
        <v>31.524000000000001</v>
      </c>
      <c r="N639" s="5">
        <v>0.59024999999999994</v>
      </c>
      <c r="O639" s="5">
        <f t="shared" si="50"/>
        <v>780</v>
      </c>
      <c r="P639" s="5">
        <f t="shared" si="51"/>
        <v>90</v>
      </c>
      <c r="R639" s="5">
        <v>22.675000000000001</v>
      </c>
      <c r="S639" s="5">
        <v>21.45</v>
      </c>
      <c r="T639" s="5">
        <v>36.21</v>
      </c>
      <c r="U639" s="2">
        <v>0.43149999999999999</v>
      </c>
      <c r="V639" s="5">
        <v>78</v>
      </c>
      <c r="W639" s="5">
        <v>78</v>
      </c>
      <c r="AA639" s="2"/>
      <c r="AJ639" s="4"/>
      <c r="AR639" s="4"/>
    </row>
    <row r="640" spans="4:44">
      <c r="D640" s="5">
        <v>-8.1999999999999993</v>
      </c>
      <c r="E640" s="5">
        <v>60.234999999999999</v>
      </c>
      <c r="F640" s="5">
        <v>27.82</v>
      </c>
      <c r="G640" s="2">
        <v>4.2024999999999997</v>
      </c>
      <c r="H640" s="5">
        <f t="shared" si="48"/>
        <v>84.735500000000002</v>
      </c>
      <c r="I640" s="5">
        <f t="shared" si="49"/>
        <v>84.735500000000002</v>
      </c>
      <c r="K640" s="5">
        <v>19.100000000000001</v>
      </c>
      <c r="L640" s="5">
        <v>35.85</v>
      </c>
      <c r="M640" s="5">
        <v>31.524000000000001</v>
      </c>
      <c r="N640" s="5">
        <v>0.59749999999999992</v>
      </c>
      <c r="O640" s="5">
        <f t="shared" si="50"/>
        <v>780</v>
      </c>
      <c r="P640" s="5">
        <f t="shared" si="51"/>
        <v>90</v>
      </c>
      <c r="R640" s="5">
        <v>22.65</v>
      </c>
      <c r="S640" s="5">
        <v>22.200000000000003</v>
      </c>
      <c r="T640" s="5">
        <v>36.21</v>
      </c>
      <c r="U640" s="2">
        <v>0.47099999999999997</v>
      </c>
      <c r="V640" s="5">
        <v>78</v>
      </c>
      <c r="W640" s="5">
        <v>78</v>
      </c>
      <c r="AA640" s="2"/>
      <c r="AJ640" s="4"/>
      <c r="AR640" s="4"/>
    </row>
    <row r="641" spans="4:44">
      <c r="D641" s="5">
        <v>-8.1</v>
      </c>
      <c r="E641" s="5">
        <v>60.152500000000003</v>
      </c>
      <c r="F641" s="5">
        <v>27.82</v>
      </c>
      <c r="G641" s="2">
        <v>4.1967499999999998</v>
      </c>
      <c r="H641" s="5">
        <f t="shared" si="48"/>
        <v>84.667625000000001</v>
      </c>
      <c r="I641" s="5">
        <f t="shared" si="49"/>
        <v>84.667625000000001</v>
      </c>
      <c r="K641" s="5">
        <v>18.899999999999999</v>
      </c>
      <c r="L641" s="5">
        <v>38.17</v>
      </c>
      <c r="M641" s="5">
        <v>31.524000000000001</v>
      </c>
      <c r="N641" s="5">
        <v>0.60475000000000001</v>
      </c>
      <c r="O641" s="5">
        <f t="shared" si="50"/>
        <v>780</v>
      </c>
      <c r="P641" s="5">
        <f t="shared" si="51"/>
        <v>90</v>
      </c>
      <c r="R641" s="5">
        <v>22.625</v>
      </c>
      <c r="S641" s="5">
        <v>22.95</v>
      </c>
      <c r="T641" s="5">
        <v>36.21</v>
      </c>
      <c r="U641" s="2">
        <v>0.51049999999999995</v>
      </c>
      <c r="V641" s="5">
        <v>78</v>
      </c>
      <c r="W641" s="5">
        <v>78</v>
      </c>
      <c r="AA641" s="2"/>
      <c r="AJ641" s="4"/>
      <c r="AR641" s="4"/>
    </row>
    <row r="642" spans="4:44">
      <c r="D642" s="5">
        <v>-8</v>
      </c>
      <c r="E642" s="5">
        <v>60.069999999999993</v>
      </c>
      <c r="F642" s="5">
        <v>27.82</v>
      </c>
      <c r="G642" s="2">
        <v>4.1909999999999998</v>
      </c>
      <c r="H642" s="5">
        <f t="shared" si="48"/>
        <v>84.6</v>
      </c>
      <c r="I642" s="5">
        <f t="shared" si="49"/>
        <v>84.6</v>
      </c>
      <c r="K642" s="5">
        <v>18.7</v>
      </c>
      <c r="L642" s="5">
        <v>40.49</v>
      </c>
      <c r="M642" s="5">
        <v>31.524000000000001</v>
      </c>
      <c r="N642" s="5">
        <v>0.61199999999999999</v>
      </c>
      <c r="O642" s="5">
        <f t="shared" si="50"/>
        <v>780</v>
      </c>
      <c r="P642" s="5">
        <f t="shared" si="51"/>
        <v>90</v>
      </c>
      <c r="R642" s="5">
        <v>22.6</v>
      </c>
      <c r="S642" s="5">
        <v>23.700000000000003</v>
      </c>
      <c r="T642" s="5">
        <v>36.21</v>
      </c>
      <c r="U642" s="2">
        <v>0.55000000000000004</v>
      </c>
      <c r="V642" s="5">
        <v>78</v>
      </c>
      <c r="W642" s="5">
        <v>78</v>
      </c>
      <c r="AA642" s="2"/>
      <c r="AJ642" s="4"/>
      <c r="AR642" s="4"/>
    </row>
    <row r="643" spans="4:44">
      <c r="D643" s="5">
        <v>-7.9</v>
      </c>
      <c r="E643" s="5">
        <v>60.242499999999993</v>
      </c>
      <c r="F643" s="5">
        <v>27.82</v>
      </c>
      <c r="G643" s="2">
        <v>4.1877500000000003</v>
      </c>
      <c r="H643" s="5">
        <f t="shared" ref="H643:H674" si="52">IF(D643&lt;0,0.0125*D643^2-0.475*D643+80,80)</f>
        <v>84.532624999999996</v>
      </c>
      <c r="I643" s="5">
        <f t="shared" ref="I643:I674" si="53">IF(H643&lt;90,H643,90)</f>
        <v>84.532624999999996</v>
      </c>
      <c r="K643" s="5">
        <v>18.649999999999999</v>
      </c>
      <c r="L643" s="5">
        <v>41.307500000000005</v>
      </c>
      <c r="M643" s="5">
        <v>31.524000000000001</v>
      </c>
      <c r="N643" s="5">
        <v>0.63949999999999996</v>
      </c>
      <c r="O643" s="5">
        <f t="shared" ref="O643:O674" si="54">IF(K643&lt;0,0.0125*K643^2-0.475*K643+80,780)</f>
        <v>780</v>
      </c>
      <c r="P643" s="5">
        <f t="shared" ref="P643:P674" si="55">IF(O643&lt;90,O643,90)</f>
        <v>90</v>
      </c>
      <c r="R643" s="5">
        <v>22.675000000000001</v>
      </c>
      <c r="S643" s="5">
        <v>25.16</v>
      </c>
      <c r="T643" s="5">
        <v>36.21</v>
      </c>
      <c r="U643" s="2">
        <v>0.59099999999999997</v>
      </c>
      <c r="V643" s="5">
        <v>78</v>
      </c>
      <c r="W643" s="5">
        <v>78</v>
      </c>
      <c r="AA643" s="2"/>
      <c r="AJ643" s="4"/>
      <c r="AR643" s="4"/>
    </row>
    <row r="644" spans="4:44">
      <c r="D644" s="5">
        <v>-7.8</v>
      </c>
      <c r="E644" s="5">
        <v>60.414999999999992</v>
      </c>
      <c r="F644" s="5">
        <v>27.82</v>
      </c>
      <c r="G644" s="2">
        <v>4.1844999999999999</v>
      </c>
      <c r="H644" s="5">
        <f t="shared" si="52"/>
        <v>84.465500000000006</v>
      </c>
      <c r="I644" s="5">
        <f t="shared" si="53"/>
        <v>84.465500000000006</v>
      </c>
      <c r="K644" s="5">
        <v>18.600000000000001</v>
      </c>
      <c r="L644" s="5">
        <v>42.125</v>
      </c>
      <c r="M644" s="5">
        <v>31.524000000000001</v>
      </c>
      <c r="N644" s="5">
        <v>0.66700000000000004</v>
      </c>
      <c r="O644" s="5">
        <f t="shared" si="54"/>
        <v>780</v>
      </c>
      <c r="P644" s="5">
        <f t="shared" si="55"/>
        <v>90</v>
      </c>
      <c r="R644" s="5">
        <v>22.75</v>
      </c>
      <c r="S644" s="5">
        <v>26.619999999999997</v>
      </c>
      <c r="T644" s="5">
        <v>36.21</v>
      </c>
      <c r="U644" s="2">
        <v>0.63200000000000001</v>
      </c>
      <c r="V644" s="5">
        <v>78</v>
      </c>
      <c r="W644" s="5">
        <v>78</v>
      </c>
      <c r="AA644" s="2"/>
      <c r="AJ644" s="4"/>
      <c r="AR644" s="4"/>
    </row>
    <row r="645" spans="4:44">
      <c r="D645" s="5">
        <v>-7.6999999999999993</v>
      </c>
      <c r="E645" s="5">
        <v>60.587499999999999</v>
      </c>
      <c r="F645" s="5">
        <v>27.82</v>
      </c>
      <c r="G645" s="2">
        <v>4.1812500000000004</v>
      </c>
      <c r="H645" s="5">
        <f t="shared" si="52"/>
        <v>84.398624999999996</v>
      </c>
      <c r="I645" s="5">
        <f t="shared" si="53"/>
        <v>84.398624999999996</v>
      </c>
      <c r="K645" s="5">
        <v>18.55</v>
      </c>
      <c r="L645" s="5">
        <v>42.942499999999995</v>
      </c>
      <c r="M645" s="5">
        <v>31.524000000000001</v>
      </c>
      <c r="N645" s="5">
        <v>0.69450000000000001</v>
      </c>
      <c r="O645" s="5">
        <f t="shared" si="54"/>
        <v>780</v>
      </c>
      <c r="P645" s="5">
        <f t="shared" si="55"/>
        <v>90</v>
      </c>
      <c r="R645" s="5">
        <v>22.824999999999999</v>
      </c>
      <c r="S645" s="5">
        <v>28.08</v>
      </c>
      <c r="T645" s="5">
        <v>36.21</v>
      </c>
      <c r="U645" s="2">
        <v>0.67299999999999993</v>
      </c>
      <c r="V645" s="5">
        <v>78</v>
      </c>
      <c r="W645" s="5">
        <v>78</v>
      </c>
      <c r="AA645" s="2"/>
      <c r="AJ645" s="4"/>
      <c r="AR645" s="4"/>
    </row>
    <row r="646" spans="4:44">
      <c r="D646" s="5">
        <v>-7.6</v>
      </c>
      <c r="E646" s="5">
        <v>60.76</v>
      </c>
      <c r="F646" s="5">
        <v>27.82</v>
      </c>
      <c r="G646" s="2">
        <v>4.1779999999999999</v>
      </c>
      <c r="H646" s="5">
        <f t="shared" si="52"/>
        <v>84.331999999999994</v>
      </c>
      <c r="I646" s="5">
        <f t="shared" si="53"/>
        <v>84.331999999999994</v>
      </c>
      <c r="K646" s="5">
        <v>18.5</v>
      </c>
      <c r="L646" s="5">
        <v>43.760000000000005</v>
      </c>
      <c r="M646" s="5">
        <v>31.524000000000001</v>
      </c>
      <c r="N646" s="5">
        <v>0.72199999999999998</v>
      </c>
      <c r="O646" s="5">
        <f t="shared" si="54"/>
        <v>780</v>
      </c>
      <c r="P646" s="5">
        <f t="shared" si="55"/>
        <v>90</v>
      </c>
      <c r="R646" s="5">
        <v>22.9</v>
      </c>
      <c r="S646" s="5">
        <v>29.540000000000003</v>
      </c>
      <c r="T646" s="5">
        <v>36.21</v>
      </c>
      <c r="U646" s="2">
        <v>0.71399999999999997</v>
      </c>
      <c r="V646" s="5">
        <v>78</v>
      </c>
      <c r="W646" s="5">
        <v>78</v>
      </c>
      <c r="AA646" s="2"/>
      <c r="AJ646" s="4"/>
      <c r="AR646" s="4"/>
    </row>
    <row r="647" spans="4:44">
      <c r="D647" s="5">
        <v>-7.5</v>
      </c>
      <c r="E647" s="5">
        <v>60.822500000000005</v>
      </c>
      <c r="F647" s="5">
        <v>27.82</v>
      </c>
      <c r="G647" s="2">
        <v>4.1382500000000002</v>
      </c>
      <c r="H647" s="5">
        <f t="shared" si="52"/>
        <v>84.265625</v>
      </c>
      <c r="I647" s="5">
        <f t="shared" si="53"/>
        <v>84.265625</v>
      </c>
      <c r="K647" s="5">
        <v>18.3</v>
      </c>
      <c r="L647" s="5">
        <v>44.4925</v>
      </c>
      <c r="M647" s="5">
        <v>31.524000000000001</v>
      </c>
      <c r="N647" s="5">
        <v>0.69350000000000001</v>
      </c>
      <c r="O647" s="5">
        <f t="shared" si="54"/>
        <v>780</v>
      </c>
      <c r="P647" s="5">
        <f t="shared" si="55"/>
        <v>90</v>
      </c>
      <c r="R647" s="5">
        <v>22.95</v>
      </c>
      <c r="S647" s="5">
        <v>30.072499999999998</v>
      </c>
      <c r="T647" s="5">
        <v>36.21</v>
      </c>
      <c r="U647" s="2">
        <v>0.65825</v>
      </c>
      <c r="V647" s="5">
        <v>78</v>
      </c>
      <c r="W647" s="5">
        <v>78</v>
      </c>
      <c r="AA647" s="2"/>
      <c r="AJ647" s="4"/>
      <c r="AR647" s="4"/>
    </row>
    <row r="648" spans="4:44">
      <c r="D648" s="5">
        <v>-7.4</v>
      </c>
      <c r="E648" s="5">
        <v>60.884999999999998</v>
      </c>
      <c r="F648" s="5">
        <v>27.82</v>
      </c>
      <c r="G648" s="2">
        <v>4.0984999999999996</v>
      </c>
      <c r="H648" s="5">
        <f t="shared" si="52"/>
        <v>84.1995</v>
      </c>
      <c r="I648" s="5">
        <f t="shared" si="53"/>
        <v>84.1995</v>
      </c>
      <c r="K648" s="5">
        <v>18.100000000000001</v>
      </c>
      <c r="L648" s="5">
        <v>45.225000000000001</v>
      </c>
      <c r="M648" s="5">
        <v>31.524000000000001</v>
      </c>
      <c r="N648" s="5">
        <v>0.66500000000000004</v>
      </c>
      <c r="O648" s="5">
        <f t="shared" si="54"/>
        <v>780</v>
      </c>
      <c r="P648" s="5">
        <f t="shared" si="55"/>
        <v>90</v>
      </c>
      <c r="R648" s="5">
        <v>23</v>
      </c>
      <c r="S648" s="5">
        <v>30.605000000000004</v>
      </c>
      <c r="T648" s="5">
        <v>36.21</v>
      </c>
      <c r="U648" s="2">
        <v>0.60250000000000004</v>
      </c>
      <c r="V648" s="5">
        <v>78</v>
      </c>
      <c r="W648" s="5">
        <v>78</v>
      </c>
      <c r="AA648" s="2"/>
      <c r="AJ648" s="4"/>
      <c r="AR648" s="4"/>
    </row>
    <row r="649" spans="4:44">
      <c r="D649" s="5">
        <v>-7.3</v>
      </c>
      <c r="E649" s="5">
        <v>60.947499999999984</v>
      </c>
      <c r="F649" s="5">
        <v>27.82</v>
      </c>
      <c r="G649" s="2">
        <v>4.0587499999999999</v>
      </c>
      <c r="H649" s="5">
        <f t="shared" si="52"/>
        <v>84.133624999999995</v>
      </c>
      <c r="I649" s="5">
        <f t="shared" si="53"/>
        <v>84.133624999999995</v>
      </c>
      <c r="K649" s="5">
        <v>17.899999999999999</v>
      </c>
      <c r="L649" s="5">
        <v>45.957499999999996</v>
      </c>
      <c r="M649" s="5">
        <v>31.524000000000001</v>
      </c>
      <c r="N649" s="5">
        <v>0.63650000000000007</v>
      </c>
      <c r="O649" s="5">
        <f t="shared" si="54"/>
        <v>780</v>
      </c>
      <c r="P649" s="5">
        <f t="shared" si="55"/>
        <v>90</v>
      </c>
      <c r="R649" s="5">
        <v>23.05</v>
      </c>
      <c r="S649" s="5">
        <v>31.137499999999999</v>
      </c>
      <c r="T649" s="5">
        <v>36.21</v>
      </c>
      <c r="U649" s="2">
        <v>0.54674999999999996</v>
      </c>
      <c r="V649" s="5">
        <v>78</v>
      </c>
      <c r="W649" s="5">
        <v>78</v>
      </c>
      <c r="AA649" s="2"/>
      <c r="AJ649" s="4"/>
      <c r="AR649" s="4"/>
    </row>
    <row r="650" spans="4:44">
      <c r="D650" s="5">
        <v>-7.2</v>
      </c>
      <c r="E650" s="5">
        <v>61.01</v>
      </c>
      <c r="F650" s="5">
        <v>27.82</v>
      </c>
      <c r="G650" s="2">
        <v>4.0190000000000001</v>
      </c>
      <c r="H650" s="5">
        <f t="shared" si="52"/>
        <v>84.067999999999998</v>
      </c>
      <c r="I650" s="5">
        <f t="shared" si="53"/>
        <v>84.067999999999998</v>
      </c>
      <c r="K650" s="5">
        <v>17.7</v>
      </c>
      <c r="L650" s="5">
        <v>46.69</v>
      </c>
      <c r="M650" s="5">
        <v>31.524000000000001</v>
      </c>
      <c r="N650" s="5">
        <v>0.60799999999999998</v>
      </c>
      <c r="O650" s="5">
        <f t="shared" si="54"/>
        <v>780</v>
      </c>
      <c r="P650" s="5">
        <f t="shared" si="55"/>
        <v>90</v>
      </c>
      <c r="R650" s="5">
        <v>23.1</v>
      </c>
      <c r="S650" s="5">
        <v>31.669999999999998</v>
      </c>
      <c r="T650" s="5">
        <v>36.21</v>
      </c>
      <c r="U650" s="2">
        <v>0.49099999999999999</v>
      </c>
      <c r="V650" s="5">
        <v>78</v>
      </c>
      <c r="W650" s="5">
        <v>78</v>
      </c>
      <c r="AA650" s="2"/>
      <c r="AJ650" s="4"/>
      <c r="AR650" s="4"/>
    </row>
    <row r="651" spans="4:44">
      <c r="D651" s="5">
        <v>-7.2249999999999996</v>
      </c>
      <c r="E651" s="5">
        <v>61.055</v>
      </c>
      <c r="F651" s="5">
        <v>27.82</v>
      </c>
      <c r="G651" s="2">
        <v>3.9972500000000002</v>
      </c>
      <c r="H651" s="5">
        <f t="shared" si="52"/>
        <v>84.084382812499996</v>
      </c>
      <c r="I651" s="5">
        <f t="shared" si="53"/>
        <v>84.084382812499996</v>
      </c>
      <c r="K651" s="5">
        <v>17.425000000000001</v>
      </c>
      <c r="L651" s="5">
        <v>48.037500000000001</v>
      </c>
      <c r="M651" s="5">
        <v>31.524000000000001</v>
      </c>
      <c r="N651" s="5">
        <v>0.63650000000000007</v>
      </c>
      <c r="O651" s="5">
        <f t="shared" si="54"/>
        <v>780</v>
      </c>
      <c r="P651" s="5">
        <f t="shared" si="55"/>
        <v>90</v>
      </c>
      <c r="R651" s="5">
        <v>23.15</v>
      </c>
      <c r="S651" s="5">
        <v>32.727499999999999</v>
      </c>
      <c r="T651" s="5">
        <v>36.21</v>
      </c>
      <c r="U651" s="2">
        <v>0.49299999999999999</v>
      </c>
      <c r="V651" s="5">
        <v>78</v>
      </c>
      <c r="W651" s="5">
        <v>78</v>
      </c>
      <c r="AA651" s="2"/>
      <c r="AJ651" s="4"/>
      <c r="AR651" s="4"/>
    </row>
    <row r="652" spans="4:44">
      <c r="D652" s="5">
        <v>-7.25</v>
      </c>
      <c r="E652" s="5">
        <v>61.099999999999994</v>
      </c>
      <c r="F652" s="5">
        <v>27.82</v>
      </c>
      <c r="G652" s="2">
        <v>3.9754999999999998</v>
      </c>
      <c r="H652" s="5">
        <f t="shared" si="52"/>
        <v>84.100781249999997</v>
      </c>
      <c r="I652" s="5">
        <f t="shared" si="53"/>
        <v>84.100781249999997</v>
      </c>
      <c r="K652" s="5">
        <v>17.149999999999999</v>
      </c>
      <c r="L652" s="5">
        <v>49.384999999999984</v>
      </c>
      <c r="M652" s="5">
        <v>31.524000000000001</v>
      </c>
      <c r="N652" s="5">
        <v>0.66500000000000004</v>
      </c>
      <c r="O652" s="5">
        <f t="shared" si="54"/>
        <v>780</v>
      </c>
      <c r="P652" s="5">
        <f t="shared" si="55"/>
        <v>90</v>
      </c>
      <c r="R652" s="5">
        <v>23.2</v>
      </c>
      <c r="S652" s="5">
        <v>33.784999999999997</v>
      </c>
      <c r="T652" s="5">
        <v>36.21</v>
      </c>
      <c r="U652" s="2">
        <v>0.495</v>
      </c>
      <c r="V652" s="5">
        <v>78</v>
      </c>
      <c r="W652" s="5">
        <v>78</v>
      </c>
      <c r="AA652" s="2"/>
      <c r="AJ652" s="4"/>
      <c r="AR652" s="4"/>
    </row>
    <row r="653" spans="4:44">
      <c r="D653" s="5">
        <v>-7.2750000000000004</v>
      </c>
      <c r="E653" s="5">
        <v>61.144999999999996</v>
      </c>
      <c r="F653" s="5">
        <v>27.82</v>
      </c>
      <c r="G653" s="2">
        <v>3.9537499999999999</v>
      </c>
      <c r="H653" s="5">
        <f t="shared" si="52"/>
        <v>84.117195312500002</v>
      </c>
      <c r="I653" s="5">
        <f t="shared" si="53"/>
        <v>84.117195312500002</v>
      </c>
      <c r="K653" s="5">
        <v>16.875</v>
      </c>
      <c r="L653" s="5">
        <v>50.732500000000002</v>
      </c>
      <c r="M653" s="5">
        <v>31.524000000000001</v>
      </c>
      <c r="N653" s="5">
        <v>0.69350000000000001</v>
      </c>
      <c r="O653" s="5">
        <f t="shared" si="54"/>
        <v>780</v>
      </c>
      <c r="P653" s="5">
        <f t="shared" si="55"/>
        <v>90</v>
      </c>
      <c r="R653" s="5">
        <v>23.25</v>
      </c>
      <c r="S653" s="5">
        <v>34.842500000000001</v>
      </c>
      <c r="T653" s="5">
        <v>36.21</v>
      </c>
      <c r="U653" s="2">
        <v>0.497</v>
      </c>
      <c r="V653" s="5">
        <v>78</v>
      </c>
      <c r="W653" s="5">
        <v>78</v>
      </c>
      <c r="AA653" s="2"/>
      <c r="AJ653" s="4"/>
      <c r="AR653" s="4"/>
    </row>
    <row r="654" spans="4:44">
      <c r="D654" s="5">
        <v>-7.3</v>
      </c>
      <c r="E654" s="5">
        <v>61.19</v>
      </c>
      <c r="F654" s="5">
        <v>27.82</v>
      </c>
      <c r="G654" s="2">
        <v>3.9319999999999999</v>
      </c>
      <c r="H654" s="5">
        <f t="shared" si="52"/>
        <v>84.133624999999995</v>
      </c>
      <c r="I654" s="5">
        <f t="shared" si="53"/>
        <v>84.133624999999995</v>
      </c>
      <c r="K654" s="5">
        <v>16.600000000000001</v>
      </c>
      <c r="L654" s="5">
        <v>52.08</v>
      </c>
      <c r="M654" s="5">
        <v>31.524000000000001</v>
      </c>
      <c r="N654" s="5">
        <v>0.72199999999999998</v>
      </c>
      <c r="O654" s="5">
        <f t="shared" si="54"/>
        <v>780</v>
      </c>
      <c r="P654" s="5">
        <f t="shared" si="55"/>
        <v>90</v>
      </c>
      <c r="R654" s="5">
        <v>23.3</v>
      </c>
      <c r="S654" s="5">
        <v>35.9</v>
      </c>
      <c r="T654" s="5">
        <v>36.21</v>
      </c>
      <c r="U654" s="2">
        <v>0.499</v>
      </c>
      <c r="V654" s="5">
        <v>78</v>
      </c>
      <c r="W654" s="5">
        <v>78</v>
      </c>
      <c r="AA654" s="2"/>
      <c r="AJ654" s="4"/>
      <c r="AR654" s="4"/>
    </row>
    <row r="655" spans="4:44">
      <c r="D655" s="5">
        <v>-7.3250000000000002</v>
      </c>
      <c r="E655" s="5">
        <v>61.19</v>
      </c>
      <c r="F655" s="5">
        <v>27.82</v>
      </c>
      <c r="G655" s="2">
        <v>3.9372500000000001</v>
      </c>
      <c r="H655" s="5">
        <f t="shared" si="52"/>
        <v>84.150070312500006</v>
      </c>
      <c r="I655" s="5">
        <f t="shared" si="53"/>
        <v>84.150070312500006</v>
      </c>
      <c r="K655" s="5">
        <v>16.100000000000001</v>
      </c>
      <c r="L655" s="5">
        <v>52.56</v>
      </c>
      <c r="M655" s="5">
        <v>31.524000000000001</v>
      </c>
      <c r="N655" s="5">
        <v>0.70474999999999999</v>
      </c>
      <c r="O655" s="5">
        <f t="shared" si="54"/>
        <v>780</v>
      </c>
      <c r="P655" s="5">
        <f t="shared" si="55"/>
        <v>90</v>
      </c>
      <c r="R655" s="5">
        <v>23.274999999999999</v>
      </c>
      <c r="S655" s="5">
        <v>35.729999999999997</v>
      </c>
      <c r="T655" s="5">
        <v>36.21</v>
      </c>
      <c r="U655" s="2">
        <v>0.497</v>
      </c>
      <c r="V655" s="5">
        <v>78</v>
      </c>
      <c r="W655" s="5">
        <v>78</v>
      </c>
      <c r="AA655" s="2"/>
      <c r="AJ655" s="4"/>
      <c r="AR655" s="4"/>
    </row>
    <row r="656" spans="4:44">
      <c r="D656" s="5">
        <v>-7.35</v>
      </c>
      <c r="E656" s="5">
        <v>61.19</v>
      </c>
      <c r="F656" s="5">
        <v>27.82</v>
      </c>
      <c r="G656" s="2">
        <v>3.9425000000000003</v>
      </c>
      <c r="H656" s="5">
        <f t="shared" si="52"/>
        <v>84.166531250000006</v>
      </c>
      <c r="I656" s="5">
        <f t="shared" si="53"/>
        <v>84.166531250000006</v>
      </c>
      <c r="K656" s="5">
        <v>15.6</v>
      </c>
      <c r="L656" s="5">
        <v>53.040000000000006</v>
      </c>
      <c r="M656" s="5">
        <v>31.524000000000001</v>
      </c>
      <c r="N656" s="5">
        <v>0.6875</v>
      </c>
      <c r="O656" s="5">
        <f t="shared" si="54"/>
        <v>780</v>
      </c>
      <c r="P656" s="5">
        <f t="shared" si="55"/>
        <v>90</v>
      </c>
      <c r="R656" s="5">
        <v>23.25</v>
      </c>
      <c r="S656" s="5">
        <v>35.56</v>
      </c>
      <c r="T656" s="5">
        <v>36.21</v>
      </c>
      <c r="U656" s="2">
        <v>0.495</v>
      </c>
      <c r="V656" s="5">
        <v>78</v>
      </c>
      <c r="W656" s="5">
        <v>78</v>
      </c>
      <c r="AA656" s="2"/>
      <c r="AJ656" s="4"/>
      <c r="AR656" s="4"/>
    </row>
    <row r="657" spans="4:44">
      <c r="D657" s="5">
        <v>-7.375</v>
      </c>
      <c r="E657" s="5">
        <v>61.19</v>
      </c>
      <c r="F657" s="5">
        <v>27.82</v>
      </c>
      <c r="G657" s="2">
        <v>3.9477500000000001</v>
      </c>
      <c r="H657" s="5">
        <f t="shared" si="52"/>
        <v>84.183007812499994</v>
      </c>
      <c r="I657" s="5">
        <f t="shared" si="53"/>
        <v>84.183007812499994</v>
      </c>
      <c r="K657" s="5">
        <v>15.1</v>
      </c>
      <c r="L657" s="5">
        <v>53.52</v>
      </c>
      <c r="M657" s="5">
        <v>31.524000000000001</v>
      </c>
      <c r="N657" s="5">
        <v>0.67025000000000001</v>
      </c>
      <c r="O657" s="5">
        <f t="shared" si="54"/>
        <v>780</v>
      </c>
      <c r="P657" s="5">
        <f t="shared" si="55"/>
        <v>90</v>
      </c>
      <c r="R657" s="5">
        <v>23.225000000000001</v>
      </c>
      <c r="S657" s="5">
        <v>35.39</v>
      </c>
      <c r="T657" s="5">
        <v>36.21</v>
      </c>
      <c r="U657" s="2">
        <v>0.49299999999999999</v>
      </c>
      <c r="V657" s="5">
        <v>78</v>
      </c>
      <c r="W657" s="5">
        <v>78</v>
      </c>
      <c r="AA657" s="2"/>
      <c r="AJ657" s="4"/>
      <c r="AR657" s="4"/>
    </row>
    <row r="658" spans="4:44">
      <c r="D658" s="5">
        <v>-7.4</v>
      </c>
      <c r="E658" s="5">
        <v>61.19</v>
      </c>
      <c r="F658" s="5">
        <v>27.82</v>
      </c>
      <c r="G658" s="2">
        <v>3.9530000000000003</v>
      </c>
      <c r="H658" s="5">
        <f t="shared" si="52"/>
        <v>84.1995</v>
      </c>
      <c r="I658" s="5">
        <f t="shared" si="53"/>
        <v>84.1995</v>
      </c>
      <c r="K658" s="5">
        <v>14.6</v>
      </c>
      <c r="L658" s="5">
        <v>54</v>
      </c>
      <c r="M658" s="5">
        <v>31.524000000000001</v>
      </c>
      <c r="N658" s="5">
        <v>0.65300000000000002</v>
      </c>
      <c r="O658" s="5">
        <f t="shared" si="54"/>
        <v>780</v>
      </c>
      <c r="P658" s="5">
        <f t="shared" si="55"/>
        <v>90</v>
      </c>
      <c r="R658" s="5">
        <v>23.2</v>
      </c>
      <c r="S658" s="5">
        <v>35.22</v>
      </c>
      <c r="T658" s="5">
        <v>36.21</v>
      </c>
      <c r="U658" s="2">
        <v>0.49099999999999999</v>
      </c>
      <c r="V658" s="5">
        <v>78</v>
      </c>
      <c r="W658" s="5">
        <v>78</v>
      </c>
      <c r="AA658" s="2"/>
      <c r="AJ658" s="4"/>
      <c r="AR658" s="4"/>
    </row>
    <row r="659" spans="4:44">
      <c r="D659" s="5">
        <v>-7.4250000000000007</v>
      </c>
      <c r="E659" s="5">
        <v>60.987499999999997</v>
      </c>
      <c r="F659" s="5">
        <v>27.82</v>
      </c>
      <c r="G659" s="2">
        <v>3.9097500000000003</v>
      </c>
      <c r="H659" s="5">
        <f t="shared" si="52"/>
        <v>84.216007812499996</v>
      </c>
      <c r="I659" s="5">
        <f t="shared" si="53"/>
        <v>84.216007812499996</v>
      </c>
      <c r="K659" s="5">
        <v>14.074999999999999</v>
      </c>
      <c r="L659" s="5">
        <v>53.86</v>
      </c>
      <c r="M659" s="5">
        <v>31.524000000000001</v>
      </c>
      <c r="N659" s="5">
        <v>0.72075</v>
      </c>
      <c r="O659" s="5">
        <f t="shared" si="54"/>
        <v>780</v>
      </c>
      <c r="P659" s="5">
        <f t="shared" si="55"/>
        <v>90</v>
      </c>
      <c r="R659" s="5">
        <v>23.05</v>
      </c>
      <c r="S659" s="5">
        <v>34.902500000000003</v>
      </c>
      <c r="T659" s="5">
        <v>36.21</v>
      </c>
      <c r="U659" s="2">
        <v>0.48799999999999999</v>
      </c>
      <c r="V659" s="5">
        <v>78</v>
      </c>
      <c r="W659" s="5">
        <v>78</v>
      </c>
      <c r="AA659" s="2"/>
      <c r="AJ659" s="4"/>
      <c r="AR659" s="4"/>
    </row>
    <row r="660" spans="4:44">
      <c r="D660" s="5">
        <v>-7.45</v>
      </c>
      <c r="E660" s="5">
        <v>60.784999999999997</v>
      </c>
      <c r="F660" s="5">
        <v>27.82</v>
      </c>
      <c r="G660" s="2">
        <v>3.8665000000000003</v>
      </c>
      <c r="H660" s="5">
        <f t="shared" si="52"/>
        <v>84.232531249999994</v>
      </c>
      <c r="I660" s="5">
        <f t="shared" si="53"/>
        <v>84.232531249999994</v>
      </c>
      <c r="K660" s="5">
        <v>13.55</v>
      </c>
      <c r="L660" s="5">
        <v>53.72</v>
      </c>
      <c r="M660" s="5">
        <v>31.524000000000001</v>
      </c>
      <c r="N660" s="5">
        <v>0.78849999999999998</v>
      </c>
      <c r="O660" s="5">
        <f t="shared" si="54"/>
        <v>780</v>
      </c>
      <c r="P660" s="5">
        <f t="shared" si="55"/>
        <v>90</v>
      </c>
      <c r="R660" s="5">
        <v>22.9</v>
      </c>
      <c r="S660" s="5">
        <v>34.585000000000001</v>
      </c>
      <c r="T660" s="5">
        <v>36.21</v>
      </c>
      <c r="U660" s="2">
        <v>0.48499999999999999</v>
      </c>
      <c r="V660" s="5">
        <v>78</v>
      </c>
      <c r="W660" s="5">
        <v>78</v>
      </c>
      <c r="AA660" s="2"/>
      <c r="AJ660" s="4"/>
      <c r="AR660" s="4"/>
    </row>
    <row r="661" spans="4:44">
      <c r="D661" s="5">
        <v>-7.4749999999999996</v>
      </c>
      <c r="E661" s="5">
        <v>60.582500000000003</v>
      </c>
      <c r="F661" s="5">
        <v>27.82</v>
      </c>
      <c r="G661" s="2">
        <v>3.8232500000000003</v>
      </c>
      <c r="H661" s="5">
        <f t="shared" si="52"/>
        <v>84.249070312499995</v>
      </c>
      <c r="I661" s="5">
        <f t="shared" si="53"/>
        <v>84.249070312499995</v>
      </c>
      <c r="K661" s="5">
        <v>13.025</v>
      </c>
      <c r="L661" s="5">
        <v>53.580000000000013</v>
      </c>
      <c r="M661" s="5">
        <v>31.524000000000001</v>
      </c>
      <c r="N661" s="5">
        <v>0.85624999999999996</v>
      </c>
      <c r="O661" s="5">
        <f t="shared" si="54"/>
        <v>780</v>
      </c>
      <c r="P661" s="5">
        <f t="shared" si="55"/>
        <v>90</v>
      </c>
      <c r="R661" s="5">
        <v>22.75</v>
      </c>
      <c r="S661" s="5">
        <v>34.267499999999998</v>
      </c>
      <c r="T661" s="5">
        <v>36.21</v>
      </c>
      <c r="U661" s="2">
        <v>0.48199999999999998</v>
      </c>
      <c r="V661" s="5">
        <v>78</v>
      </c>
      <c r="W661" s="5">
        <v>78</v>
      </c>
      <c r="AA661" s="2"/>
      <c r="AJ661" s="4"/>
      <c r="AR661" s="4"/>
    </row>
    <row r="662" spans="4:44">
      <c r="D662" s="5">
        <v>-7.5</v>
      </c>
      <c r="E662" s="5">
        <v>60.38</v>
      </c>
      <c r="F662" s="5">
        <v>27.82</v>
      </c>
      <c r="G662" s="2">
        <v>3.7800000000000002</v>
      </c>
      <c r="H662" s="5">
        <f t="shared" si="52"/>
        <v>84.265625</v>
      </c>
      <c r="I662" s="5">
        <f t="shared" si="53"/>
        <v>84.265625</v>
      </c>
      <c r="K662" s="5">
        <v>12.5</v>
      </c>
      <c r="L662" s="5">
        <v>53.440000000000005</v>
      </c>
      <c r="M662" s="5">
        <v>31.524000000000001</v>
      </c>
      <c r="N662" s="5">
        <v>0.92399999999999993</v>
      </c>
      <c r="O662" s="5">
        <f t="shared" si="54"/>
        <v>780</v>
      </c>
      <c r="P662" s="5">
        <f t="shared" si="55"/>
        <v>90</v>
      </c>
      <c r="R662" s="5">
        <v>22.6</v>
      </c>
      <c r="S662" s="5">
        <v>33.950000000000003</v>
      </c>
      <c r="T662" s="5">
        <v>36.21</v>
      </c>
      <c r="U662" s="2">
        <v>0.47899999999999998</v>
      </c>
      <c r="V662" s="5">
        <v>78</v>
      </c>
      <c r="W662" s="5">
        <v>78</v>
      </c>
      <c r="AA662" s="2"/>
      <c r="AJ662" s="4"/>
      <c r="AR662" s="4"/>
    </row>
    <row r="663" spans="4:44">
      <c r="D663" s="5">
        <v>-7.5750000000000002</v>
      </c>
      <c r="E663" s="5">
        <v>60.505000000000003</v>
      </c>
      <c r="F663" s="5">
        <v>27.82</v>
      </c>
      <c r="G663" s="2">
        <v>3.7517500000000004</v>
      </c>
      <c r="H663" s="5">
        <f t="shared" si="52"/>
        <v>84.315382812500005</v>
      </c>
      <c r="I663" s="5">
        <f t="shared" si="53"/>
        <v>84.315382812500005</v>
      </c>
      <c r="K663" s="5">
        <v>12.425000000000001</v>
      </c>
      <c r="L663" s="5">
        <v>53.420000000000016</v>
      </c>
      <c r="M663" s="5">
        <v>31.524000000000001</v>
      </c>
      <c r="N663" s="5">
        <v>0.94575000000000009</v>
      </c>
      <c r="O663" s="5">
        <f t="shared" si="54"/>
        <v>780</v>
      </c>
      <c r="P663" s="5">
        <f t="shared" si="55"/>
        <v>90</v>
      </c>
      <c r="R663" s="5">
        <v>22.324999999999999</v>
      </c>
      <c r="S663" s="5">
        <v>33.602499999999999</v>
      </c>
      <c r="T663" s="5">
        <v>36.21</v>
      </c>
      <c r="U663" s="2">
        <v>0.47899999999999998</v>
      </c>
      <c r="V663" s="5">
        <v>78</v>
      </c>
      <c r="W663" s="5">
        <v>78</v>
      </c>
      <c r="AA663" s="2"/>
      <c r="AJ663" s="4"/>
      <c r="AR663" s="4"/>
    </row>
    <row r="664" spans="4:44">
      <c r="D664" s="5">
        <v>-7.65</v>
      </c>
      <c r="E664" s="5">
        <v>60.63000000000001</v>
      </c>
      <c r="F664" s="5">
        <v>27.82</v>
      </c>
      <c r="G664" s="2">
        <v>3.7235</v>
      </c>
      <c r="H664" s="5">
        <f t="shared" si="52"/>
        <v>84.365281249999995</v>
      </c>
      <c r="I664" s="5">
        <f t="shared" si="53"/>
        <v>84.365281249999995</v>
      </c>
      <c r="K664" s="5">
        <v>12.35</v>
      </c>
      <c r="L664" s="5">
        <v>53.4</v>
      </c>
      <c r="M664" s="5">
        <v>31.524000000000001</v>
      </c>
      <c r="N664" s="5">
        <v>0.96750000000000003</v>
      </c>
      <c r="O664" s="5">
        <f t="shared" si="54"/>
        <v>780</v>
      </c>
      <c r="P664" s="5">
        <f t="shared" si="55"/>
        <v>90</v>
      </c>
      <c r="R664" s="5">
        <v>22.05</v>
      </c>
      <c r="S664" s="5">
        <v>33.254999999999995</v>
      </c>
      <c r="T664" s="5">
        <v>36.21</v>
      </c>
      <c r="U664" s="2">
        <v>0.47899999999999998</v>
      </c>
      <c r="V664" s="5">
        <v>78</v>
      </c>
      <c r="W664" s="5">
        <v>78</v>
      </c>
      <c r="AA664" s="2"/>
      <c r="AJ664" s="4"/>
      <c r="AR664" s="4"/>
    </row>
    <row r="665" spans="4:44">
      <c r="D665" s="5">
        <v>-7.7249999999999996</v>
      </c>
      <c r="E665" s="5">
        <v>60.754999999999995</v>
      </c>
      <c r="F665" s="5">
        <v>27.82</v>
      </c>
      <c r="G665" s="2">
        <v>3.6952500000000001</v>
      </c>
      <c r="H665" s="5">
        <f t="shared" si="52"/>
        <v>84.4153203125</v>
      </c>
      <c r="I665" s="5">
        <f t="shared" si="53"/>
        <v>84.4153203125</v>
      </c>
      <c r="K665" s="5">
        <v>12.275</v>
      </c>
      <c r="L665" s="5">
        <v>53.38</v>
      </c>
      <c r="M665" s="5">
        <v>31.524000000000001</v>
      </c>
      <c r="N665" s="5">
        <v>0.98924999999999996</v>
      </c>
      <c r="O665" s="5">
        <f t="shared" si="54"/>
        <v>780</v>
      </c>
      <c r="P665" s="5">
        <f t="shared" si="55"/>
        <v>90</v>
      </c>
      <c r="R665" s="5">
        <v>21.774999999999999</v>
      </c>
      <c r="S665" s="5">
        <v>32.907499999999999</v>
      </c>
      <c r="T665" s="5">
        <v>36.21</v>
      </c>
      <c r="U665" s="2">
        <v>0.47899999999999998</v>
      </c>
      <c r="V665" s="5">
        <v>78</v>
      </c>
      <c r="W665" s="5">
        <v>78</v>
      </c>
      <c r="AA665" s="2"/>
      <c r="AJ665" s="4"/>
      <c r="AR665" s="4"/>
    </row>
    <row r="666" spans="4:44">
      <c r="D666" s="5">
        <v>-7.8</v>
      </c>
      <c r="E666" s="5">
        <v>60.88</v>
      </c>
      <c r="F666" s="5">
        <v>27.82</v>
      </c>
      <c r="G666" s="2">
        <v>3.6670000000000003</v>
      </c>
      <c r="H666" s="5">
        <f t="shared" si="52"/>
        <v>84.465500000000006</v>
      </c>
      <c r="I666" s="5">
        <f t="shared" si="53"/>
        <v>84.465500000000006</v>
      </c>
      <c r="K666" s="5">
        <v>12.2</v>
      </c>
      <c r="L666" s="5">
        <v>53.36</v>
      </c>
      <c r="M666" s="5">
        <v>31.524000000000001</v>
      </c>
      <c r="N666" s="5">
        <v>1.0109999999999999</v>
      </c>
      <c r="O666" s="5">
        <f t="shared" si="54"/>
        <v>780</v>
      </c>
      <c r="P666" s="5">
        <f t="shared" si="55"/>
        <v>90</v>
      </c>
      <c r="R666" s="5">
        <v>21.5</v>
      </c>
      <c r="S666" s="5">
        <v>32.559999999999995</v>
      </c>
      <c r="T666" s="5">
        <v>36.21</v>
      </c>
      <c r="U666" s="2">
        <v>0.47899999999999998</v>
      </c>
      <c r="V666" s="5">
        <v>78</v>
      </c>
      <c r="W666" s="5">
        <v>78</v>
      </c>
      <c r="AA666" s="2"/>
      <c r="AJ666" s="4"/>
      <c r="AR666" s="4"/>
    </row>
    <row r="667" spans="4:44">
      <c r="D667" s="5">
        <v>-7.7750000000000004</v>
      </c>
      <c r="E667" s="5">
        <v>60.567500000000003</v>
      </c>
      <c r="F667" s="5">
        <v>27.82</v>
      </c>
      <c r="G667" s="2">
        <v>3.6477500000000003</v>
      </c>
      <c r="H667" s="5">
        <f t="shared" si="52"/>
        <v>84.448757812500006</v>
      </c>
      <c r="I667" s="5">
        <f t="shared" si="53"/>
        <v>84.448757812500006</v>
      </c>
      <c r="K667" s="5">
        <v>12.025</v>
      </c>
      <c r="L667" s="5">
        <v>52.687500000000007</v>
      </c>
      <c r="M667" s="5">
        <v>31.524000000000001</v>
      </c>
      <c r="N667" s="5">
        <v>0.99625000000000008</v>
      </c>
      <c r="O667" s="5">
        <f t="shared" si="54"/>
        <v>780</v>
      </c>
      <c r="P667" s="5">
        <f t="shared" si="55"/>
        <v>90</v>
      </c>
      <c r="R667" s="5">
        <v>20.975000000000001</v>
      </c>
      <c r="S667" s="5">
        <v>32.2575</v>
      </c>
      <c r="T667" s="5">
        <v>36.21</v>
      </c>
      <c r="U667" s="2">
        <v>0.45674999999999999</v>
      </c>
      <c r="V667" s="5">
        <v>78</v>
      </c>
      <c r="W667" s="5">
        <v>78</v>
      </c>
      <c r="AA667" s="2"/>
      <c r="AJ667" s="4"/>
      <c r="AR667" s="4"/>
    </row>
    <row r="668" spans="4:44">
      <c r="D668" s="5">
        <v>-7.75</v>
      </c>
      <c r="E668" s="5">
        <v>60.255000000000003</v>
      </c>
      <c r="F668" s="5">
        <v>27.82</v>
      </c>
      <c r="G668" s="2">
        <v>3.6285000000000003</v>
      </c>
      <c r="H668" s="5">
        <f t="shared" si="52"/>
        <v>84.432031249999994</v>
      </c>
      <c r="I668" s="5">
        <f t="shared" si="53"/>
        <v>84.432031249999994</v>
      </c>
      <c r="K668" s="5">
        <v>11.85</v>
      </c>
      <c r="L668" s="5">
        <v>52.015000000000001</v>
      </c>
      <c r="M668" s="5">
        <v>31.524000000000001</v>
      </c>
      <c r="N668" s="5">
        <v>0.98150000000000004</v>
      </c>
      <c r="O668" s="5">
        <f t="shared" si="54"/>
        <v>780</v>
      </c>
      <c r="P668" s="5">
        <f t="shared" si="55"/>
        <v>90</v>
      </c>
      <c r="R668" s="5">
        <v>20.45</v>
      </c>
      <c r="S668" s="5">
        <v>31.954999999999998</v>
      </c>
      <c r="T668" s="5">
        <v>36.21</v>
      </c>
      <c r="U668" s="2">
        <v>0.4345</v>
      </c>
      <c r="V668" s="5">
        <v>78</v>
      </c>
      <c r="W668" s="5">
        <v>78</v>
      </c>
      <c r="AA668" s="2"/>
      <c r="AJ668" s="4"/>
      <c r="AR668" s="4"/>
    </row>
    <row r="669" spans="4:44">
      <c r="D669" s="5">
        <v>-7.7249999999999996</v>
      </c>
      <c r="E669" s="5">
        <v>59.942500000000003</v>
      </c>
      <c r="F669" s="5">
        <v>27.82</v>
      </c>
      <c r="G669" s="2">
        <v>3.6092500000000003</v>
      </c>
      <c r="H669" s="5">
        <f t="shared" si="52"/>
        <v>84.4153203125</v>
      </c>
      <c r="I669" s="5">
        <f t="shared" si="53"/>
        <v>84.4153203125</v>
      </c>
      <c r="K669" s="5">
        <v>11.675000000000001</v>
      </c>
      <c r="L669" s="5">
        <v>51.342500000000001</v>
      </c>
      <c r="M669" s="5">
        <v>31.524000000000001</v>
      </c>
      <c r="N669" s="5">
        <v>0.96675</v>
      </c>
      <c r="O669" s="5">
        <f t="shared" si="54"/>
        <v>780</v>
      </c>
      <c r="P669" s="5">
        <f t="shared" si="55"/>
        <v>90</v>
      </c>
      <c r="R669" s="5">
        <v>19.925000000000001</v>
      </c>
      <c r="S669" s="5">
        <v>31.6525</v>
      </c>
      <c r="T669" s="5">
        <v>36.21</v>
      </c>
      <c r="U669" s="2">
        <v>0.41007499999999997</v>
      </c>
      <c r="V669" s="5">
        <v>78</v>
      </c>
      <c r="W669" s="5">
        <v>78</v>
      </c>
      <c r="AA669" s="2"/>
      <c r="AJ669" s="4"/>
      <c r="AR669" s="4"/>
    </row>
    <row r="670" spans="4:44">
      <c r="D670" s="5">
        <v>-7.7</v>
      </c>
      <c r="E670" s="5">
        <v>59.63</v>
      </c>
      <c r="F670" s="5">
        <v>27.82</v>
      </c>
      <c r="G670" s="2">
        <v>3.5900000000000003</v>
      </c>
      <c r="H670" s="5">
        <f t="shared" si="52"/>
        <v>84.398624999999996</v>
      </c>
      <c r="I670" s="5">
        <f t="shared" si="53"/>
        <v>84.398624999999996</v>
      </c>
      <c r="K670" s="5">
        <v>11.5</v>
      </c>
      <c r="L670" s="5">
        <v>50.67</v>
      </c>
      <c r="M670" s="5">
        <v>31.524000000000001</v>
      </c>
      <c r="N670" s="5">
        <v>0.95199999999999996</v>
      </c>
      <c r="O670" s="5">
        <f t="shared" si="54"/>
        <v>780</v>
      </c>
      <c r="P670" s="5">
        <f t="shared" si="55"/>
        <v>90</v>
      </c>
      <c r="R670" s="5">
        <v>19.399999999999999</v>
      </c>
      <c r="S670" s="5">
        <v>31.349999999999998</v>
      </c>
      <c r="T670" s="5">
        <v>36.21</v>
      </c>
      <c r="U670" s="2">
        <v>0.41060000000000002</v>
      </c>
      <c r="V670" s="5">
        <v>78</v>
      </c>
      <c r="W670" s="5">
        <v>78</v>
      </c>
      <c r="AA670" s="2"/>
      <c r="AJ670" s="4"/>
      <c r="AR670" s="4"/>
    </row>
    <row r="671" spans="4:44">
      <c r="D671" s="5">
        <v>-7.8250000000000002</v>
      </c>
      <c r="E671" s="5">
        <v>55.647500000000001</v>
      </c>
      <c r="F671" s="5">
        <v>27.82</v>
      </c>
      <c r="G671" s="2">
        <v>3.5975000000000001</v>
      </c>
      <c r="H671" s="5">
        <f t="shared" si="52"/>
        <v>84.482257812499995</v>
      </c>
      <c r="I671" s="5">
        <f t="shared" si="53"/>
        <v>84.482257812499995</v>
      </c>
      <c r="K671" s="5">
        <v>11.3</v>
      </c>
      <c r="L671" s="5">
        <v>49.924999999999997</v>
      </c>
      <c r="M671" s="5">
        <v>31.524000000000001</v>
      </c>
      <c r="N671" s="5">
        <v>0.95425000000000004</v>
      </c>
      <c r="O671" s="5">
        <f t="shared" si="54"/>
        <v>780</v>
      </c>
      <c r="P671" s="5">
        <f t="shared" si="55"/>
        <v>90</v>
      </c>
      <c r="R671" s="5">
        <v>19.274999999999999</v>
      </c>
      <c r="S671" s="5">
        <v>30.954999999999998</v>
      </c>
      <c r="T671" s="5">
        <v>36.21</v>
      </c>
      <c r="U671" s="2">
        <v>0.41072500000000001</v>
      </c>
      <c r="V671" s="5">
        <v>78</v>
      </c>
      <c r="W671" s="5">
        <v>78</v>
      </c>
      <c r="AA671" s="2"/>
      <c r="AJ671" s="4"/>
      <c r="AR671" s="4"/>
    </row>
    <row r="672" spans="4:44">
      <c r="D672" s="5">
        <v>-7.9499999999999993</v>
      </c>
      <c r="E672" s="5">
        <v>51.664999999999999</v>
      </c>
      <c r="F672" s="5">
        <v>27.82</v>
      </c>
      <c r="G672" s="2">
        <v>3.605</v>
      </c>
      <c r="H672" s="5">
        <f t="shared" si="52"/>
        <v>84.566281250000003</v>
      </c>
      <c r="I672" s="5">
        <f t="shared" si="53"/>
        <v>84.566281250000003</v>
      </c>
      <c r="K672" s="5">
        <v>11.1</v>
      </c>
      <c r="L672" s="5">
        <v>49.18</v>
      </c>
      <c r="M672" s="5">
        <v>31.524000000000001</v>
      </c>
      <c r="N672" s="5">
        <v>0.95650000000000013</v>
      </c>
      <c r="O672" s="5">
        <f t="shared" si="54"/>
        <v>780</v>
      </c>
      <c r="P672" s="5">
        <f t="shared" si="55"/>
        <v>90</v>
      </c>
      <c r="R672" s="5">
        <v>19.149999999999999</v>
      </c>
      <c r="S672" s="5">
        <v>30.560000000000002</v>
      </c>
      <c r="T672" s="5">
        <v>36.21</v>
      </c>
      <c r="U672" s="2">
        <v>0.41084999999999999</v>
      </c>
      <c r="V672" s="5">
        <v>78</v>
      </c>
      <c r="W672" s="5">
        <v>78</v>
      </c>
      <c r="AA672" s="2"/>
      <c r="AJ672" s="4"/>
      <c r="AR672" s="4"/>
    </row>
    <row r="673" spans="4:45">
      <c r="D673" s="5">
        <v>-8.0749999999999993</v>
      </c>
      <c r="E673" s="5">
        <v>47.682500000000005</v>
      </c>
      <c r="F673" s="5">
        <v>27.82</v>
      </c>
      <c r="G673" s="2">
        <v>3.6125000000000003</v>
      </c>
      <c r="H673" s="5">
        <f t="shared" si="52"/>
        <v>84.650695312500005</v>
      </c>
      <c r="I673" s="5">
        <f t="shared" si="53"/>
        <v>84.650695312500005</v>
      </c>
      <c r="K673" s="5">
        <v>10.9</v>
      </c>
      <c r="L673" s="5">
        <v>48.435000000000002</v>
      </c>
      <c r="M673" s="5">
        <v>31.524000000000001</v>
      </c>
      <c r="N673" s="5">
        <v>0.95874999999999999</v>
      </c>
      <c r="O673" s="5">
        <f t="shared" si="54"/>
        <v>780</v>
      </c>
      <c r="P673" s="5">
        <f t="shared" si="55"/>
        <v>90</v>
      </c>
      <c r="R673" s="5">
        <v>19.024999999999999</v>
      </c>
      <c r="S673" s="5">
        <v>30.165000000000003</v>
      </c>
      <c r="T673" s="5">
        <v>36.21</v>
      </c>
      <c r="U673" s="2">
        <v>0.432</v>
      </c>
      <c r="V673" s="5">
        <v>78</v>
      </c>
      <c r="W673" s="5">
        <v>78</v>
      </c>
      <c r="AA673" s="2"/>
      <c r="AJ673" s="4"/>
      <c r="AR673" s="4"/>
    </row>
    <row r="674" spans="4:45">
      <c r="D674" s="5">
        <v>-8.1999999999999993</v>
      </c>
      <c r="E674" s="5">
        <v>43.7</v>
      </c>
      <c r="F674" s="5">
        <v>27.82</v>
      </c>
      <c r="G674" s="2">
        <v>3.62</v>
      </c>
      <c r="H674" s="5">
        <f t="shared" si="52"/>
        <v>84.735500000000002</v>
      </c>
      <c r="I674" s="5">
        <f t="shared" si="53"/>
        <v>84.735500000000002</v>
      </c>
      <c r="K674" s="5">
        <v>10.7</v>
      </c>
      <c r="L674" s="5">
        <v>47.69</v>
      </c>
      <c r="M674" s="5">
        <v>31.524000000000001</v>
      </c>
      <c r="N674" s="5">
        <v>0.96100000000000008</v>
      </c>
      <c r="O674" s="5">
        <f t="shared" si="54"/>
        <v>780</v>
      </c>
      <c r="P674" s="5">
        <f t="shared" si="55"/>
        <v>90</v>
      </c>
      <c r="R674" s="5">
        <v>18.899999999999999</v>
      </c>
      <c r="S674" s="5">
        <v>29.77</v>
      </c>
      <c r="T674" s="5">
        <v>36.21</v>
      </c>
      <c r="U674" s="2">
        <v>0.44600000000000001</v>
      </c>
      <c r="V674" s="5">
        <v>78</v>
      </c>
      <c r="W674" s="5">
        <v>78</v>
      </c>
      <c r="AA674" s="2"/>
      <c r="AJ674" s="4"/>
      <c r="AR674" s="4"/>
    </row>
    <row r="675" spans="4:45">
      <c r="Z675" s="2"/>
      <c r="AR675" s="3"/>
    </row>
    <row r="676" spans="4:45">
      <c r="AR676" s="1"/>
    </row>
    <row r="677" spans="4:45">
      <c r="AS677" s="5">
        <f>MAX(AS2:AS674)</f>
        <v>0</v>
      </c>
    </row>
    <row r="894" spans="12:12">
      <c r="L894" s="5" t="s">
        <v>12</v>
      </c>
    </row>
  </sheetData>
  <pageMargins left="0.7" right="0.7" top="0.75" bottom="0.75" header="0.3" footer="0.3"/>
  <headerFooter>
    <oddHeader>&amp;R&amp;"Calibri"&amp;11&amp;K000000 TUNI Luottamuksellinen - Confidential (3Y)&amp;1#_x000D_</oddHead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E3ED72ECB1E034F889E8829D976A7E7" ma:contentTypeVersion="4" ma:contentTypeDescription="Create a new document." ma:contentTypeScope="" ma:versionID="a895b40f4ad6ae59e7627e00d6c415de">
  <xsd:schema xmlns:xsd="http://www.w3.org/2001/XMLSchema" xmlns:xs="http://www.w3.org/2001/XMLSchema" xmlns:p="http://schemas.microsoft.com/office/2006/metadata/properties" xmlns:ns2="f9e8847d-90e8-4577-abc1-6e83cb7d9194" targetNamespace="http://schemas.microsoft.com/office/2006/metadata/properties" ma:root="true" ma:fieldsID="3eaa6f11e791c2f2ca3d14ebe3a54c92" ns2:_="">
    <xsd:import namespace="f9e8847d-90e8-4577-abc1-6e83cb7d919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e8847d-90e8-4577-abc1-6e83cb7d91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663B819-C290-4B2D-9EAB-158DF880844D}"/>
</file>

<file path=customXml/itemProps2.xml><?xml version="1.0" encoding="utf-8"?>
<ds:datastoreItem xmlns:ds="http://schemas.openxmlformats.org/officeDocument/2006/customXml" ds:itemID="{B0BC0F96-17F7-4B85-9D83-986B5BAB7A67}"/>
</file>

<file path=customXml/itemProps3.xml><?xml version="1.0" encoding="utf-8"?>
<ds:datastoreItem xmlns:ds="http://schemas.openxmlformats.org/officeDocument/2006/customXml" ds:itemID="{9CCAF0D5-F095-4FE3-8AF8-DE77624E131A}"/>
</file>

<file path=docMetadata/LabelInfo.xml><?xml version="1.0" encoding="utf-8"?>
<clbl:labelList xmlns:clbl="http://schemas.microsoft.com/office/2020/mipLabelMetadata">
  <clbl:label id="{74814fa1-1a0b-42d1-967a-caddbf829325}" enabled="1" method="Standard" siteId="{fa6944af-cc7c-4cd8-9154-c0113279891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Ristomatti Pöri (TAU)</dc:creator>
  <cp:keywords/>
  <dc:description/>
  <cp:lastModifiedBy>Ristomatti Pöri (TAU)</cp:lastModifiedBy>
  <cp:revision/>
  <dcterms:created xsi:type="dcterms:W3CDTF">2025-06-18T12:44:26Z</dcterms:created>
  <dcterms:modified xsi:type="dcterms:W3CDTF">2026-03-10T14:31:54Z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0x0101000E3ED72ECB1E034F889E8829D976A7E7</vt:lpwstr>
  </property>
</Properties>
</file>